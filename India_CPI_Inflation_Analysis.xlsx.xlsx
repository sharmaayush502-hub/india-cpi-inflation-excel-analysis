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f0d3fe6df96bcf/Desktop/"/>
    </mc:Choice>
  </mc:AlternateContent>
  <xr:revisionPtr revIDLastSave="1694" documentId="8_{59C914FA-97EB-452A-AFD1-06EAD5603B58}" xr6:coauthVersionLast="47" xr6:coauthVersionMax="47" xr10:uidLastSave="{6A9FDE49-5A95-4CFA-9191-56F011C22EE8}"/>
  <bookViews>
    <workbookView xWindow="-110" yWindow="-110" windowWidth="19420" windowHeight="11500" xr2:uid="{2C293B81-5CB5-4022-9447-17DB36A5C916}"/>
  </bookViews>
  <sheets>
    <sheet name="Dashboard" sheetId="20" r:id="rId1"/>
    <sheet name="Raw Data" sheetId="1" r:id="rId2"/>
    <sheet name=" YoY_Data" sheetId="11" r:id="rId3"/>
    <sheet name="Clean Data" sheetId="2" r:id="rId4"/>
    <sheet name="Rural+Urban" sheetId="6" r:id="rId5"/>
    <sheet name="Q1_Basket_Contribution" sheetId="7" r:id="rId6"/>
    <sheet name="Q2_YoY Trend" sheetId="12" r:id="rId7"/>
    <sheet name=" Q3_Food_Analysis" sheetId="13" r:id="rId8"/>
    <sheet name=" Q4_COVID_Impact" sheetId="15" r:id="rId9"/>
    <sheet name=" Q5_Oil_linkage" sheetId="18" r:id="rId10"/>
  </sheets>
  <definedNames>
    <definedName name="_xlnm._FilterDatabase" localSheetId="8" hidden="1">' Q4_COVID_Impact'!$AF$4:$AK$28</definedName>
    <definedName name="_xlnm._FilterDatabase" localSheetId="2" hidden="1">' YoY_Data'!$AC$1:$AC$125</definedName>
    <definedName name="_xlnm._FilterDatabase" localSheetId="4" hidden="1">'Rural+Urban'!$A$1:$AD$125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7" i="18" l="1"/>
  <c r="AL8" i="18"/>
  <c r="AL9" i="18"/>
  <c r="AL10" i="18"/>
  <c r="AL11" i="18"/>
  <c r="AL12" i="18"/>
  <c r="AL13" i="18"/>
  <c r="AL14" i="18"/>
  <c r="AL15" i="18"/>
  <c r="AL16" i="18"/>
  <c r="AL17" i="18"/>
  <c r="AL18" i="18"/>
  <c r="AL19" i="18"/>
  <c r="AL20" i="18"/>
  <c r="AL21" i="18"/>
  <c r="AL22" i="18"/>
  <c r="AL23" i="18"/>
  <c r="AL24" i="18"/>
  <c r="AL25" i="18"/>
  <c r="AL26" i="18"/>
  <c r="AL27" i="18"/>
  <c r="AL28" i="18"/>
  <c r="AL29" i="18"/>
  <c r="AL30" i="18"/>
  <c r="AL31" i="18"/>
  <c r="AL32" i="18"/>
  <c r="AL33" i="18"/>
  <c r="AL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6" i="18"/>
  <c r="AJ7" i="18"/>
  <c r="AJ8" i="18"/>
  <c r="AJ9" i="18"/>
  <c r="AJ10" i="18"/>
  <c r="AJ11" i="18"/>
  <c r="AJ12" i="18"/>
  <c r="AJ13" i="18"/>
  <c r="AJ14" i="18"/>
  <c r="AJ15" i="18"/>
  <c r="AJ16" i="18"/>
  <c r="AJ17" i="18"/>
  <c r="AJ18" i="18"/>
  <c r="AJ19" i="18"/>
  <c r="AJ20" i="18"/>
  <c r="AJ21" i="18"/>
  <c r="AJ22" i="18"/>
  <c r="AJ23" i="18"/>
  <c r="AJ24" i="18"/>
  <c r="AJ25" i="18"/>
  <c r="AJ26" i="18"/>
  <c r="AJ27" i="18"/>
  <c r="AJ28" i="18"/>
  <c r="AJ29" i="18"/>
  <c r="AJ30" i="18"/>
  <c r="AJ31" i="18"/>
  <c r="AJ32" i="18"/>
  <c r="AJ33" i="18"/>
  <c r="AJ6" i="18"/>
  <c r="AI7" i="18"/>
  <c r="AI8" i="18"/>
  <c r="AI9" i="18"/>
  <c r="AI10" i="18"/>
  <c r="AI11" i="18"/>
  <c r="AI12" i="18"/>
  <c r="AI13" i="18"/>
  <c r="AI14" i="18"/>
  <c r="AI15" i="18"/>
  <c r="AI16" i="18"/>
  <c r="AI17" i="18"/>
  <c r="AI18" i="18"/>
  <c r="AI19" i="18"/>
  <c r="AI20" i="18"/>
  <c r="AI21" i="18"/>
  <c r="AI22" i="18"/>
  <c r="AI23" i="18"/>
  <c r="AI24" i="18"/>
  <c r="AI25" i="18"/>
  <c r="AI26" i="18"/>
  <c r="AI27" i="18"/>
  <c r="AI28" i="18"/>
  <c r="AI29" i="18"/>
  <c r="AI30" i="18"/>
  <c r="AI31" i="18"/>
  <c r="AI32" i="18"/>
  <c r="AI33" i="18"/>
  <c r="AI6" i="18"/>
  <c r="AH7" i="18"/>
  <c r="AH8" i="18"/>
  <c r="AH9" i="18"/>
  <c r="AH10" i="18"/>
  <c r="AH11" i="18"/>
  <c r="AH12" i="18"/>
  <c r="AH13" i="18"/>
  <c r="AH14" i="18"/>
  <c r="AH15" i="18"/>
  <c r="AH16" i="18"/>
  <c r="AH17" i="18"/>
  <c r="AH18" i="18"/>
  <c r="AH19" i="18"/>
  <c r="AH20" i="18"/>
  <c r="AH21" i="18"/>
  <c r="AH22" i="18"/>
  <c r="AH23" i="18"/>
  <c r="AH24" i="18"/>
  <c r="AH25" i="18"/>
  <c r="AH26" i="18"/>
  <c r="AH27" i="18"/>
  <c r="AH28" i="18"/>
  <c r="AH29" i="18"/>
  <c r="AH30" i="18"/>
  <c r="AH31" i="18"/>
  <c r="AH32" i="18"/>
  <c r="AH33" i="18"/>
  <c r="AH6" i="18"/>
  <c r="AG7" i="18"/>
  <c r="AG8" i="18"/>
  <c r="AG9" i="18"/>
  <c r="AG10" i="18"/>
  <c r="AG11" i="18"/>
  <c r="AG12" i="18"/>
  <c r="AG13" i="18"/>
  <c r="AG14" i="18"/>
  <c r="AG15" i="18"/>
  <c r="AG16" i="18"/>
  <c r="AG17" i="18"/>
  <c r="AG18" i="18"/>
  <c r="AG19" i="18"/>
  <c r="AG20" i="18"/>
  <c r="AG21" i="18"/>
  <c r="AG22" i="18"/>
  <c r="AG23" i="18"/>
  <c r="AG24" i="18"/>
  <c r="AG25" i="18"/>
  <c r="AG26" i="18"/>
  <c r="AG27" i="18"/>
  <c r="AG28" i="18"/>
  <c r="AG29" i="18"/>
  <c r="AG30" i="18"/>
  <c r="AG31" i="18"/>
  <c r="AG32" i="18"/>
  <c r="AG33" i="18"/>
  <c r="AG6" i="18"/>
  <c r="AK18" i="15"/>
  <c r="AK19" i="15"/>
  <c r="AK20" i="15"/>
  <c r="AK21" i="15"/>
  <c r="AK22" i="15"/>
  <c r="AK23" i="15"/>
  <c r="AK24" i="15"/>
  <c r="AK25" i="15"/>
  <c r="AK26" i="15"/>
  <c r="AK27" i="15"/>
  <c r="AK28" i="15"/>
  <c r="H38" i="15"/>
  <c r="H36" i="15"/>
  <c r="G38" i="15"/>
  <c r="G36" i="15"/>
  <c r="AK17" i="15"/>
  <c r="AH18" i="15"/>
  <c r="AH19" i="15"/>
  <c r="AH20" i="15"/>
  <c r="AH21" i="15"/>
  <c r="AH22" i="15"/>
  <c r="AH23" i="15"/>
  <c r="AH24" i="15"/>
  <c r="AH25" i="15"/>
  <c r="AH26" i="15"/>
  <c r="AH27" i="15"/>
  <c r="AH28" i="15"/>
  <c r="AH17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J18" i="15" s="1"/>
  <c r="AI19" i="15"/>
  <c r="AI20" i="15"/>
  <c r="AI21" i="15"/>
  <c r="AI22" i="15"/>
  <c r="AI23" i="15"/>
  <c r="AI24" i="15"/>
  <c r="AI25" i="15"/>
  <c r="AI26" i="15"/>
  <c r="AJ26" i="15" s="1"/>
  <c r="AI27" i="15"/>
  <c r="AJ27" i="15" s="1"/>
  <c r="AI28" i="15"/>
  <c r="AJ28" i="15" s="1"/>
  <c r="AI5" i="15"/>
  <c r="AF7" i="15"/>
  <c r="AF8" i="15"/>
  <c r="AF9" i="15"/>
  <c r="AF10" i="15"/>
  <c r="AF11" i="15"/>
  <c r="AF12" i="15"/>
  <c r="AF13" i="15"/>
  <c r="AF14" i="15"/>
  <c r="AF15" i="15"/>
  <c r="AF16" i="15"/>
  <c r="AF17" i="15"/>
  <c r="AF18" i="15"/>
  <c r="AF19" i="15"/>
  <c r="AF20" i="15"/>
  <c r="AG20" i="15" s="1"/>
  <c r="AF21" i="15"/>
  <c r="AF22" i="15"/>
  <c r="AG22" i="15" s="1"/>
  <c r="AF23" i="15"/>
  <c r="AG23" i="15" s="1"/>
  <c r="AF24" i="15"/>
  <c r="AG24" i="15" s="1"/>
  <c r="AF25" i="15"/>
  <c r="AF26" i="15"/>
  <c r="AF27" i="15"/>
  <c r="AF28" i="15"/>
  <c r="AF6" i="15"/>
  <c r="AF5" i="15"/>
  <c r="A28" i="13"/>
  <c r="C27" i="13"/>
  <c r="C26" i="13"/>
  <c r="C25" i="13"/>
  <c r="C24" i="13"/>
  <c r="C23" i="13"/>
  <c r="C22" i="13"/>
  <c r="C21" i="13"/>
  <c r="C17" i="13"/>
  <c r="C18" i="13"/>
  <c r="C20" i="13"/>
  <c r="C19" i="13"/>
  <c r="B27" i="13"/>
  <c r="B26" i="13"/>
  <c r="B25" i="13"/>
  <c r="B24" i="13"/>
  <c r="B23" i="13"/>
  <c r="B22" i="13"/>
  <c r="B21" i="13"/>
  <c r="B20" i="13"/>
  <c r="B19" i="13"/>
  <c r="B18" i="13"/>
  <c r="B17" i="13"/>
  <c r="C16" i="13"/>
  <c r="B16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F3" i="13"/>
  <c r="AF4" i="13"/>
  <c r="AF5" i="13"/>
  <c r="AF6" i="13"/>
  <c r="AF7" i="13"/>
  <c r="AF8" i="13"/>
  <c r="AF9" i="13"/>
  <c r="AF10" i="13"/>
  <c r="AF11" i="13"/>
  <c r="AF12" i="13"/>
  <c r="AF13" i="13"/>
  <c r="AF2" i="13"/>
  <c r="G2" i="12"/>
  <c r="G3" i="12"/>
  <c r="G4" i="12"/>
  <c r="G5" i="12"/>
  <c r="G6" i="12"/>
  <c r="G7" i="12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D36" i="11"/>
  <c r="AD37" i="11"/>
  <c r="AD38" i="11"/>
  <c r="AD39" i="11"/>
  <c r="AD40" i="11"/>
  <c r="AD41" i="11"/>
  <c r="AD42" i="11"/>
  <c r="AD43" i="11"/>
  <c r="AD44" i="11"/>
  <c r="AD45" i="11"/>
  <c r="AD46" i="11"/>
  <c r="AD47" i="11"/>
  <c r="AD48" i="11"/>
  <c r="AD49" i="11"/>
  <c r="AD50" i="11"/>
  <c r="AD51" i="11"/>
  <c r="AD52" i="11"/>
  <c r="AD53" i="11"/>
  <c r="AD54" i="11"/>
  <c r="AD55" i="11"/>
  <c r="AD56" i="11"/>
  <c r="AD57" i="11"/>
  <c r="AD58" i="11"/>
  <c r="AD59" i="11"/>
  <c r="AD60" i="11"/>
  <c r="AD61" i="11"/>
  <c r="AD62" i="11"/>
  <c r="AD63" i="11"/>
  <c r="AD64" i="11"/>
  <c r="AD65" i="11"/>
  <c r="AD66" i="11"/>
  <c r="AD67" i="11"/>
  <c r="AD68" i="11"/>
  <c r="AD69" i="11"/>
  <c r="AD70" i="11"/>
  <c r="AD71" i="11"/>
  <c r="AD72" i="11"/>
  <c r="AD73" i="11"/>
  <c r="AD74" i="11"/>
  <c r="AD75" i="11"/>
  <c r="AD76" i="11"/>
  <c r="AD77" i="11"/>
  <c r="AD78" i="11"/>
  <c r="AD79" i="11"/>
  <c r="AD80" i="11"/>
  <c r="AD81" i="11"/>
  <c r="AD82" i="11"/>
  <c r="AD83" i="11"/>
  <c r="AD84" i="11"/>
  <c r="AD85" i="11"/>
  <c r="AD86" i="11"/>
  <c r="AD87" i="11"/>
  <c r="AD88" i="11"/>
  <c r="AD89" i="11"/>
  <c r="AD90" i="11"/>
  <c r="AD91" i="11"/>
  <c r="AD92" i="11"/>
  <c r="AD93" i="11"/>
  <c r="AD94" i="11"/>
  <c r="AD95" i="11"/>
  <c r="AD96" i="11"/>
  <c r="AD97" i="11"/>
  <c r="AD98" i="11"/>
  <c r="AD99" i="11"/>
  <c r="AD100" i="11"/>
  <c r="AD101" i="11"/>
  <c r="AD102" i="11"/>
  <c r="AD103" i="11"/>
  <c r="AD104" i="11"/>
  <c r="AD105" i="11"/>
  <c r="AD106" i="11"/>
  <c r="AD107" i="11"/>
  <c r="AD108" i="11"/>
  <c r="AD109" i="11"/>
  <c r="AD110" i="11"/>
  <c r="AD111" i="11"/>
  <c r="AD112" i="11"/>
  <c r="AD113" i="11"/>
  <c r="AD114" i="11"/>
  <c r="AD115" i="11"/>
  <c r="AD116" i="11"/>
  <c r="AD117" i="11"/>
  <c r="AD118" i="11"/>
  <c r="AD119" i="11"/>
  <c r="AD120" i="11"/>
  <c r="AD121" i="11"/>
  <c r="AD122" i="11"/>
  <c r="AD123" i="11"/>
  <c r="AD124" i="11"/>
  <c r="AD125" i="11"/>
  <c r="AD14" i="11"/>
  <c r="B3" i="7"/>
  <c r="B4" i="7"/>
  <c r="B5" i="7"/>
  <c r="B6" i="7"/>
  <c r="B7" i="7"/>
  <c r="B8" i="7"/>
  <c r="B9" i="7"/>
  <c r="B10" i="7"/>
  <c r="B11" i="7"/>
  <c r="B12" i="7"/>
  <c r="B13" i="7"/>
  <c r="AF32" i="2"/>
  <c r="AE2" i="2"/>
  <c r="AF2" i="2" s="1"/>
  <c r="AE3" i="2"/>
  <c r="AF3" i="2" s="1"/>
  <c r="AE4" i="2"/>
  <c r="AF4" i="2" s="1"/>
  <c r="AE5" i="2"/>
  <c r="AF5" i="2" s="1"/>
  <c r="AE6" i="2"/>
  <c r="AF6" i="2" s="1"/>
  <c r="AE7" i="2"/>
  <c r="AF7" i="2" s="1"/>
  <c r="AE8" i="2"/>
  <c r="AF8" i="2" s="1"/>
  <c r="AE9" i="2"/>
  <c r="AF9" i="2" s="1"/>
  <c r="AE10" i="2"/>
  <c r="AF10" i="2" s="1"/>
  <c r="AE11" i="2"/>
  <c r="AF11" i="2" s="1"/>
  <c r="AE12" i="2"/>
  <c r="AF12" i="2" s="1"/>
  <c r="AE13" i="2"/>
  <c r="AF13" i="2" s="1"/>
  <c r="AE14" i="2"/>
  <c r="AF14" i="2" s="1"/>
  <c r="AE15" i="2"/>
  <c r="AF15" i="2" s="1"/>
  <c r="AE16" i="2"/>
  <c r="AF16" i="2" s="1"/>
  <c r="AE17" i="2"/>
  <c r="AF17" i="2" s="1"/>
  <c r="AE18" i="2"/>
  <c r="AF18" i="2" s="1"/>
  <c r="AE19" i="2"/>
  <c r="AF19" i="2" s="1"/>
  <c r="AE20" i="2"/>
  <c r="AF20" i="2" s="1"/>
  <c r="AE21" i="2"/>
  <c r="AF21" i="2" s="1"/>
  <c r="AE22" i="2"/>
  <c r="AF22" i="2" s="1"/>
  <c r="AE23" i="2"/>
  <c r="AF23" i="2" s="1"/>
  <c r="AE24" i="2"/>
  <c r="AF24" i="2" s="1"/>
  <c r="AE25" i="2"/>
  <c r="AF25" i="2" s="1"/>
  <c r="AE26" i="2"/>
  <c r="AF26" i="2" s="1"/>
  <c r="AE27" i="2"/>
  <c r="AF27" i="2" s="1"/>
  <c r="AE28" i="2"/>
  <c r="AF28" i="2" s="1"/>
  <c r="AE29" i="2"/>
  <c r="AF29" i="2" s="1"/>
  <c r="AE30" i="2"/>
  <c r="AF30" i="2" s="1"/>
  <c r="AE31" i="2"/>
  <c r="AF31" i="2" s="1"/>
  <c r="AE33" i="2"/>
  <c r="AF33" i="2" s="1"/>
  <c r="AE34" i="2"/>
  <c r="AF34" i="2" s="1"/>
  <c r="AE35" i="2"/>
  <c r="AF35" i="2" s="1"/>
  <c r="AE36" i="2"/>
  <c r="AF36" i="2" s="1"/>
  <c r="AE37" i="2"/>
  <c r="AF37" i="2" s="1"/>
  <c r="AE38" i="2"/>
  <c r="AF38" i="2" s="1"/>
  <c r="AE39" i="2"/>
  <c r="AF39" i="2" s="1"/>
  <c r="AE40" i="2"/>
  <c r="AF40" i="2" s="1"/>
  <c r="AE41" i="2"/>
  <c r="AF41" i="2" s="1"/>
  <c r="AE42" i="2"/>
  <c r="AF42" i="2" s="1"/>
  <c r="AE43" i="2"/>
  <c r="AF43" i="2" s="1"/>
  <c r="AE44" i="2"/>
  <c r="AF44" i="2" s="1"/>
  <c r="AE45" i="2"/>
  <c r="AF45" i="2" s="1"/>
  <c r="AE46" i="2"/>
  <c r="AF46" i="2" s="1"/>
  <c r="AE47" i="2"/>
  <c r="AF47" i="2" s="1"/>
  <c r="AE48" i="2"/>
  <c r="AF48" i="2" s="1"/>
  <c r="AE49" i="2"/>
  <c r="AF49" i="2" s="1"/>
  <c r="AE50" i="2"/>
  <c r="AF50" i="2" s="1"/>
  <c r="AE51" i="2"/>
  <c r="AF51" i="2" s="1"/>
  <c r="AE52" i="2"/>
  <c r="AF52" i="2" s="1"/>
  <c r="AE53" i="2"/>
  <c r="AF53" i="2" s="1"/>
  <c r="AE54" i="2"/>
  <c r="AF54" i="2" s="1"/>
  <c r="AE55" i="2"/>
  <c r="AF55" i="2" s="1"/>
  <c r="AE56" i="2"/>
  <c r="AF56" i="2" s="1"/>
  <c r="AE57" i="2"/>
  <c r="AF57" i="2" s="1"/>
  <c r="AE58" i="2"/>
  <c r="AF58" i="2" s="1"/>
  <c r="AE59" i="2"/>
  <c r="AF59" i="2" s="1"/>
  <c r="AE60" i="2"/>
  <c r="AF60" i="2" s="1"/>
  <c r="AE61" i="2"/>
  <c r="AF61" i="2" s="1"/>
  <c r="AE62" i="2"/>
  <c r="AF62" i="2" s="1"/>
  <c r="AE63" i="2"/>
  <c r="AF63" i="2" s="1"/>
  <c r="AE64" i="2"/>
  <c r="AF64" i="2" s="1"/>
  <c r="AE65" i="2"/>
  <c r="AF65" i="2" s="1"/>
  <c r="AE66" i="2"/>
  <c r="AF66" i="2" s="1"/>
  <c r="AE67" i="2"/>
  <c r="AF67" i="2" s="1"/>
  <c r="AE68" i="2"/>
  <c r="AF68" i="2" s="1"/>
  <c r="AE69" i="2"/>
  <c r="AF69" i="2" s="1"/>
  <c r="AE70" i="2"/>
  <c r="AF70" i="2" s="1"/>
  <c r="AE71" i="2"/>
  <c r="AF71" i="2" s="1"/>
  <c r="AE72" i="2"/>
  <c r="AF72" i="2" s="1"/>
  <c r="AE73" i="2"/>
  <c r="AF73" i="2" s="1"/>
  <c r="AE74" i="2"/>
  <c r="AF74" i="2" s="1"/>
  <c r="AE75" i="2"/>
  <c r="AF75" i="2" s="1"/>
  <c r="AE76" i="2"/>
  <c r="AF76" i="2" s="1"/>
  <c r="AE77" i="2"/>
  <c r="AF77" i="2" s="1"/>
  <c r="AE78" i="2"/>
  <c r="AF78" i="2" s="1"/>
  <c r="AE79" i="2"/>
  <c r="AF79" i="2" s="1"/>
  <c r="AE80" i="2"/>
  <c r="AF80" i="2" s="1"/>
  <c r="AE81" i="2"/>
  <c r="AF81" i="2" s="1"/>
  <c r="AE82" i="2"/>
  <c r="AF82" i="2" s="1"/>
  <c r="AE83" i="2"/>
  <c r="AF83" i="2" s="1"/>
  <c r="AE84" i="2"/>
  <c r="AF84" i="2" s="1"/>
  <c r="AE85" i="2"/>
  <c r="AF85" i="2" s="1"/>
  <c r="AE86" i="2"/>
  <c r="AF86" i="2" s="1"/>
  <c r="AE87" i="2"/>
  <c r="AF87" i="2" s="1"/>
  <c r="AE88" i="2"/>
  <c r="AF88" i="2" s="1"/>
  <c r="AE89" i="2"/>
  <c r="AF89" i="2" s="1"/>
  <c r="AE90" i="2"/>
  <c r="AF90" i="2" s="1"/>
  <c r="AE91" i="2"/>
  <c r="AF91" i="2" s="1"/>
  <c r="AE92" i="2"/>
  <c r="AF92" i="2" s="1"/>
  <c r="AE93" i="2"/>
  <c r="AF93" i="2" s="1"/>
  <c r="AE94" i="2"/>
  <c r="AF94" i="2" s="1"/>
  <c r="AE95" i="2"/>
  <c r="AF95" i="2" s="1"/>
  <c r="AE96" i="2"/>
  <c r="AF96" i="2" s="1"/>
  <c r="AE97" i="2"/>
  <c r="AF97" i="2" s="1"/>
  <c r="AE98" i="2"/>
  <c r="AF98" i="2" s="1"/>
  <c r="AE99" i="2"/>
  <c r="AF99" i="2" s="1"/>
  <c r="AE100" i="2"/>
  <c r="AF100" i="2" s="1"/>
  <c r="AE101" i="2"/>
  <c r="AF101" i="2" s="1"/>
  <c r="AE102" i="2"/>
  <c r="AF102" i="2" s="1"/>
  <c r="AE103" i="2"/>
  <c r="AF103" i="2" s="1"/>
  <c r="AE104" i="2"/>
  <c r="AF104" i="2" s="1"/>
  <c r="AE105" i="2"/>
  <c r="AF105" i="2" s="1"/>
  <c r="AE106" i="2"/>
  <c r="AF106" i="2" s="1"/>
  <c r="AE107" i="2"/>
  <c r="AF107" i="2" s="1"/>
  <c r="AE108" i="2"/>
  <c r="AF108" i="2" s="1"/>
  <c r="AE109" i="2"/>
  <c r="AF109" i="2" s="1"/>
  <c r="AE110" i="2"/>
  <c r="AF110" i="2" s="1"/>
  <c r="AE111" i="2"/>
  <c r="AF111" i="2" s="1"/>
  <c r="AE112" i="2"/>
  <c r="AF112" i="2" s="1"/>
  <c r="AE113" i="2"/>
  <c r="AF113" i="2" s="1"/>
  <c r="AE114" i="2"/>
  <c r="AF114" i="2" s="1"/>
  <c r="AE115" i="2"/>
  <c r="AF115" i="2" s="1"/>
  <c r="AE116" i="2"/>
  <c r="AF116" i="2" s="1"/>
  <c r="AE117" i="2"/>
  <c r="AF117" i="2" s="1"/>
  <c r="AE118" i="2"/>
  <c r="AF118" i="2" s="1"/>
  <c r="AE119" i="2"/>
  <c r="AF119" i="2" s="1"/>
  <c r="AE120" i="2"/>
  <c r="AF120" i="2" s="1"/>
  <c r="AE121" i="2"/>
  <c r="AF121" i="2" s="1"/>
  <c r="AE122" i="2"/>
  <c r="AF122" i="2" s="1"/>
  <c r="AE123" i="2"/>
  <c r="AF123" i="2" s="1"/>
  <c r="AE124" i="2"/>
  <c r="AF124" i="2" s="1"/>
  <c r="AE125" i="2"/>
  <c r="AF125" i="2" s="1"/>
  <c r="AE126" i="2"/>
  <c r="AF126" i="2" s="1"/>
  <c r="AE127" i="2"/>
  <c r="AF127" i="2" s="1"/>
  <c r="AE128" i="2"/>
  <c r="AF128" i="2" s="1"/>
  <c r="AE129" i="2"/>
  <c r="AF129" i="2" s="1"/>
  <c r="AE130" i="2"/>
  <c r="AF130" i="2" s="1"/>
  <c r="AE131" i="2"/>
  <c r="AF131" i="2" s="1"/>
  <c r="AE132" i="2"/>
  <c r="AF132" i="2" s="1"/>
  <c r="AE133" i="2"/>
  <c r="AF133" i="2" s="1"/>
  <c r="AE134" i="2"/>
  <c r="AF134" i="2" s="1"/>
  <c r="AE135" i="2"/>
  <c r="AF135" i="2" s="1"/>
  <c r="AE136" i="2"/>
  <c r="AF136" i="2" s="1"/>
  <c r="AE137" i="2"/>
  <c r="AF137" i="2" s="1"/>
  <c r="AE138" i="2"/>
  <c r="AF138" i="2" s="1"/>
  <c r="AE139" i="2"/>
  <c r="AF139" i="2" s="1"/>
  <c r="AE140" i="2"/>
  <c r="AF140" i="2" s="1"/>
  <c r="AE141" i="2"/>
  <c r="AF141" i="2" s="1"/>
  <c r="AE142" i="2"/>
  <c r="AF142" i="2" s="1"/>
  <c r="AE143" i="2"/>
  <c r="AF143" i="2" s="1"/>
  <c r="AE144" i="2"/>
  <c r="AF144" i="2" s="1"/>
  <c r="AE145" i="2"/>
  <c r="AF145" i="2" s="1"/>
  <c r="AE146" i="2"/>
  <c r="AF146" i="2" s="1"/>
  <c r="AE147" i="2"/>
  <c r="AF147" i="2" s="1"/>
  <c r="AE148" i="2"/>
  <c r="AF148" i="2" s="1"/>
  <c r="AE149" i="2"/>
  <c r="AF149" i="2" s="1"/>
  <c r="AE150" i="2"/>
  <c r="AF150" i="2" s="1"/>
  <c r="AE151" i="2"/>
  <c r="AF151" i="2" s="1"/>
  <c r="AE152" i="2"/>
  <c r="AF152" i="2" s="1"/>
  <c r="AE153" i="2"/>
  <c r="AF153" i="2" s="1"/>
  <c r="AE154" i="2"/>
  <c r="AF154" i="2" s="1"/>
  <c r="AE155" i="2"/>
  <c r="AF155" i="2" s="1"/>
  <c r="AE156" i="2"/>
  <c r="AF156" i="2" s="1"/>
  <c r="AE157" i="2"/>
  <c r="AF157" i="2" s="1"/>
  <c r="AE158" i="2"/>
  <c r="AF158" i="2" s="1"/>
  <c r="AE159" i="2"/>
  <c r="AF159" i="2" s="1"/>
  <c r="AE160" i="2"/>
  <c r="AF160" i="2" s="1"/>
  <c r="AE161" i="2"/>
  <c r="AF161" i="2" s="1"/>
  <c r="AE162" i="2"/>
  <c r="AF162" i="2" s="1"/>
  <c r="AE163" i="2"/>
  <c r="AF163" i="2" s="1"/>
  <c r="AE164" i="2"/>
  <c r="AF164" i="2" s="1"/>
  <c r="AE165" i="2"/>
  <c r="AF165" i="2" s="1"/>
  <c r="AE166" i="2"/>
  <c r="AF166" i="2" s="1"/>
  <c r="AE167" i="2"/>
  <c r="AF167" i="2" s="1"/>
  <c r="AE168" i="2"/>
  <c r="AF168" i="2" s="1"/>
  <c r="AE169" i="2"/>
  <c r="AF169" i="2" s="1"/>
  <c r="AE170" i="2"/>
  <c r="AF170" i="2" s="1"/>
  <c r="AE171" i="2"/>
  <c r="AF171" i="2" s="1"/>
  <c r="AE172" i="2"/>
  <c r="AF172" i="2" s="1"/>
  <c r="AE173" i="2"/>
  <c r="AF173" i="2" s="1"/>
  <c r="AE174" i="2"/>
  <c r="AF174" i="2" s="1"/>
  <c r="AE175" i="2"/>
  <c r="AF175" i="2" s="1"/>
  <c r="AE176" i="2"/>
  <c r="AF176" i="2" s="1"/>
  <c r="AE177" i="2"/>
  <c r="AF177" i="2" s="1"/>
  <c r="AE178" i="2"/>
  <c r="AF178" i="2" s="1"/>
  <c r="AE179" i="2"/>
  <c r="AF179" i="2" s="1"/>
  <c r="AE180" i="2"/>
  <c r="AF180" i="2" s="1"/>
  <c r="AE181" i="2"/>
  <c r="AF181" i="2" s="1"/>
  <c r="AE182" i="2"/>
  <c r="AF182" i="2" s="1"/>
  <c r="AE183" i="2"/>
  <c r="AF183" i="2" s="1"/>
  <c r="AE184" i="2"/>
  <c r="AF184" i="2" s="1"/>
  <c r="AE185" i="2"/>
  <c r="AF185" i="2" s="1"/>
  <c r="AE186" i="2"/>
  <c r="AF186" i="2" s="1"/>
  <c r="AE187" i="2"/>
  <c r="AF187" i="2" s="1"/>
  <c r="AE188" i="2"/>
  <c r="AF188" i="2" s="1"/>
  <c r="AE189" i="2"/>
  <c r="AF189" i="2" s="1"/>
  <c r="AE190" i="2"/>
  <c r="AF190" i="2" s="1"/>
  <c r="AE191" i="2"/>
  <c r="AF191" i="2" s="1"/>
  <c r="AE192" i="2"/>
  <c r="AF192" i="2" s="1"/>
  <c r="AE193" i="2"/>
  <c r="AF193" i="2" s="1"/>
  <c r="AE194" i="2"/>
  <c r="AF194" i="2" s="1"/>
  <c r="AE195" i="2"/>
  <c r="AF195" i="2" s="1"/>
  <c r="AE196" i="2"/>
  <c r="AF196" i="2" s="1"/>
  <c r="AE197" i="2"/>
  <c r="AF197" i="2" s="1"/>
  <c r="AE198" i="2"/>
  <c r="AF198" i="2" s="1"/>
  <c r="AE199" i="2"/>
  <c r="AF199" i="2" s="1"/>
  <c r="AE200" i="2"/>
  <c r="AF200" i="2" s="1"/>
  <c r="AE201" i="2"/>
  <c r="AF201" i="2" s="1"/>
  <c r="AE202" i="2"/>
  <c r="AF202" i="2" s="1"/>
  <c r="AE203" i="2"/>
  <c r="AF203" i="2" s="1"/>
  <c r="AE204" i="2"/>
  <c r="AF204" i="2" s="1"/>
  <c r="AE205" i="2"/>
  <c r="AF205" i="2" s="1"/>
  <c r="AE206" i="2"/>
  <c r="AF206" i="2" s="1"/>
  <c r="AE207" i="2"/>
  <c r="AF207" i="2" s="1"/>
  <c r="AE208" i="2"/>
  <c r="AF208" i="2" s="1"/>
  <c r="AE209" i="2"/>
  <c r="AF209" i="2" s="1"/>
  <c r="AE210" i="2"/>
  <c r="AF210" i="2" s="1"/>
  <c r="AE211" i="2"/>
  <c r="AF211" i="2" s="1"/>
  <c r="AE212" i="2"/>
  <c r="AF212" i="2" s="1"/>
  <c r="AE213" i="2"/>
  <c r="AF213" i="2" s="1"/>
  <c r="AE214" i="2"/>
  <c r="AF214" i="2" s="1"/>
  <c r="AE215" i="2"/>
  <c r="AF215" i="2" s="1"/>
  <c r="AE216" i="2"/>
  <c r="AF216" i="2" s="1"/>
  <c r="AE217" i="2"/>
  <c r="AF217" i="2" s="1"/>
  <c r="AE218" i="2"/>
  <c r="AF218" i="2" s="1"/>
  <c r="AE219" i="2"/>
  <c r="AF219" i="2" s="1"/>
  <c r="AE220" i="2"/>
  <c r="AF220" i="2" s="1"/>
  <c r="AE221" i="2"/>
  <c r="AF221" i="2" s="1"/>
  <c r="AE222" i="2"/>
  <c r="AF222" i="2" s="1"/>
  <c r="AE223" i="2"/>
  <c r="AF223" i="2" s="1"/>
  <c r="AE224" i="2"/>
  <c r="AF224" i="2" s="1"/>
  <c r="AE225" i="2"/>
  <c r="AF225" i="2" s="1"/>
  <c r="AE226" i="2"/>
  <c r="AF226" i="2" s="1"/>
  <c r="AE227" i="2"/>
  <c r="AF227" i="2" s="1"/>
  <c r="AE228" i="2"/>
  <c r="AF228" i="2" s="1"/>
  <c r="AE229" i="2"/>
  <c r="AF229" i="2" s="1"/>
  <c r="AE230" i="2"/>
  <c r="AF230" i="2" s="1"/>
  <c r="AE231" i="2"/>
  <c r="AF231" i="2" s="1"/>
  <c r="AE232" i="2"/>
  <c r="AF232" i="2" s="1"/>
  <c r="AE233" i="2"/>
  <c r="AF233" i="2" s="1"/>
  <c r="AE234" i="2"/>
  <c r="AF234" i="2" s="1"/>
  <c r="AE235" i="2"/>
  <c r="AF235" i="2" s="1"/>
  <c r="AE236" i="2"/>
  <c r="AF236" i="2" s="1"/>
  <c r="AE237" i="2"/>
  <c r="AF237" i="2" s="1"/>
  <c r="AE238" i="2"/>
  <c r="AF238" i="2" s="1"/>
  <c r="AE239" i="2"/>
  <c r="AF239" i="2" s="1"/>
  <c r="AE240" i="2"/>
  <c r="AF240" i="2" s="1"/>
  <c r="AE241" i="2"/>
  <c r="AF241" i="2" s="1"/>
  <c r="AE242" i="2"/>
  <c r="AF242" i="2" s="1"/>
  <c r="AE243" i="2"/>
  <c r="AF243" i="2" s="1"/>
  <c r="AE244" i="2"/>
  <c r="AF244" i="2" s="1"/>
  <c r="AE245" i="2"/>
  <c r="AF245" i="2" s="1"/>
  <c r="AE246" i="2"/>
  <c r="AF246" i="2" s="1"/>
  <c r="AE247" i="2"/>
  <c r="AF247" i="2" s="1"/>
  <c r="AE248" i="2"/>
  <c r="AF248" i="2" s="1"/>
  <c r="AE249" i="2"/>
  <c r="AF249" i="2" s="1"/>
  <c r="AE250" i="2"/>
  <c r="AF250" i="2" s="1"/>
  <c r="AE251" i="2"/>
  <c r="AF251" i="2" s="1"/>
  <c r="AE252" i="2"/>
  <c r="AF252" i="2" s="1"/>
  <c r="AE253" i="2"/>
  <c r="AF253" i="2" s="1"/>
  <c r="AE254" i="2"/>
  <c r="AF254" i="2" s="1"/>
  <c r="AE255" i="2"/>
  <c r="AF255" i="2" s="1"/>
  <c r="AE256" i="2"/>
  <c r="AF256" i="2" s="1"/>
  <c r="AE257" i="2"/>
  <c r="AF257" i="2" s="1"/>
  <c r="AE258" i="2"/>
  <c r="AF258" i="2" s="1"/>
  <c r="AE259" i="2"/>
  <c r="AF259" i="2" s="1"/>
  <c r="AE260" i="2"/>
  <c r="AF260" i="2" s="1"/>
  <c r="AE261" i="2"/>
  <c r="AF261" i="2" s="1"/>
  <c r="AE262" i="2"/>
  <c r="AF262" i="2" s="1"/>
  <c r="AE263" i="2"/>
  <c r="AF263" i="2" s="1"/>
  <c r="AE264" i="2"/>
  <c r="AF264" i="2" s="1"/>
  <c r="AE265" i="2"/>
  <c r="AF265" i="2" s="1"/>
  <c r="AE266" i="2"/>
  <c r="AF266" i="2" s="1"/>
  <c r="AE267" i="2"/>
  <c r="AF267" i="2" s="1"/>
  <c r="AE268" i="2"/>
  <c r="AF268" i="2" s="1"/>
  <c r="AE269" i="2"/>
  <c r="AF269" i="2" s="1"/>
  <c r="AE270" i="2"/>
  <c r="AF270" i="2" s="1"/>
  <c r="AE271" i="2"/>
  <c r="AF271" i="2" s="1"/>
  <c r="AE272" i="2"/>
  <c r="AF272" i="2" s="1"/>
  <c r="AE273" i="2"/>
  <c r="AF273" i="2" s="1"/>
  <c r="AE274" i="2"/>
  <c r="AF274" i="2" s="1"/>
  <c r="AE275" i="2"/>
  <c r="AF275" i="2" s="1"/>
  <c r="AE276" i="2"/>
  <c r="AF276" i="2" s="1"/>
  <c r="AE277" i="2"/>
  <c r="AF277" i="2" s="1"/>
  <c r="AE278" i="2"/>
  <c r="AF278" i="2" s="1"/>
  <c r="AE279" i="2"/>
  <c r="AF279" i="2" s="1"/>
  <c r="AE280" i="2"/>
  <c r="AF280" i="2" s="1"/>
  <c r="AE281" i="2"/>
  <c r="AF281" i="2" s="1"/>
  <c r="AE282" i="2"/>
  <c r="AF282" i="2" s="1"/>
  <c r="AE283" i="2"/>
  <c r="AF283" i="2" s="1"/>
  <c r="AE284" i="2"/>
  <c r="AF284" i="2" s="1"/>
  <c r="AE285" i="2"/>
  <c r="AF285" i="2" s="1"/>
  <c r="AE286" i="2"/>
  <c r="AF286" i="2" s="1"/>
  <c r="AE287" i="2"/>
  <c r="AF287" i="2" s="1"/>
  <c r="AE288" i="2"/>
  <c r="AF288" i="2" s="1"/>
  <c r="AE289" i="2"/>
  <c r="AF289" i="2" s="1"/>
  <c r="AE290" i="2"/>
  <c r="AF290" i="2" s="1"/>
  <c r="AE291" i="2"/>
  <c r="AF291" i="2" s="1"/>
  <c r="AE292" i="2"/>
  <c r="AF292" i="2" s="1"/>
  <c r="AE293" i="2"/>
  <c r="AF293" i="2" s="1"/>
  <c r="AE294" i="2"/>
  <c r="AF294" i="2" s="1"/>
  <c r="AE295" i="2"/>
  <c r="AF295" i="2" s="1"/>
  <c r="AE296" i="2"/>
  <c r="AF296" i="2" s="1"/>
  <c r="AE297" i="2"/>
  <c r="AF297" i="2" s="1"/>
  <c r="AE298" i="2"/>
  <c r="AF298" i="2" s="1"/>
  <c r="AE299" i="2"/>
  <c r="AF299" i="2" s="1"/>
  <c r="AE300" i="2"/>
  <c r="AF300" i="2" s="1"/>
  <c r="AE301" i="2"/>
  <c r="AF301" i="2" s="1"/>
  <c r="AE302" i="2"/>
  <c r="AF302" i="2" s="1"/>
  <c r="AE303" i="2"/>
  <c r="AF303" i="2" s="1"/>
  <c r="AE304" i="2"/>
  <c r="AF304" i="2" s="1"/>
  <c r="AE305" i="2"/>
  <c r="AF305" i="2" s="1"/>
  <c r="AE306" i="2"/>
  <c r="AF306" i="2" s="1"/>
  <c r="AE307" i="2"/>
  <c r="AF307" i="2" s="1"/>
  <c r="AE308" i="2"/>
  <c r="AF308" i="2" s="1"/>
  <c r="AE309" i="2"/>
  <c r="AF309" i="2" s="1"/>
  <c r="AE310" i="2"/>
  <c r="AF310" i="2" s="1"/>
  <c r="AE311" i="2"/>
  <c r="AF311" i="2" s="1"/>
  <c r="AE312" i="2"/>
  <c r="AF312" i="2" s="1"/>
  <c r="AE313" i="2"/>
  <c r="AF313" i="2" s="1"/>
  <c r="AE314" i="2"/>
  <c r="AF314" i="2" s="1"/>
  <c r="AE315" i="2"/>
  <c r="AF315" i="2" s="1"/>
  <c r="AE316" i="2"/>
  <c r="AF316" i="2" s="1"/>
  <c r="AE317" i="2"/>
  <c r="AF317" i="2" s="1"/>
  <c r="AE318" i="2"/>
  <c r="AF318" i="2" s="1"/>
  <c r="AE319" i="2"/>
  <c r="AF319" i="2" s="1"/>
  <c r="AE320" i="2"/>
  <c r="AF320" i="2" s="1"/>
  <c r="AE321" i="2"/>
  <c r="AF321" i="2" s="1"/>
  <c r="AE322" i="2"/>
  <c r="AF322" i="2" s="1"/>
  <c r="AE323" i="2"/>
  <c r="AF323" i="2" s="1"/>
  <c r="AE324" i="2"/>
  <c r="AF324" i="2" s="1"/>
  <c r="AE325" i="2"/>
  <c r="AF325" i="2" s="1"/>
  <c r="AE326" i="2"/>
  <c r="AF326" i="2" s="1"/>
  <c r="AE327" i="2"/>
  <c r="AF327" i="2" s="1"/>
  <c r="AE328" i="2"/>
  <c r="AF328" i="2" s="1"/>
  <c r="AE329" i="2"/>
  <c r="AF329" i="2" s="1"/>
  <c r="AE330" i="2"/>
  <c r="AF330" i="2" s="1"/>
  <c r="AE331" i="2"/>
  <c r="AF331" i="2" s="1"/>
  <c r="AE332" i="2"/>
  <c r="AF332" i="2" s="1"/>
  <c r="AE333" i="2"/>
  <c r="AF333" i="2" s="1"/>
  <c r="AE334" i="2"/>
  <c r="AF334" i="2" s="1"/>
  <c r="AE335" i="2"/>
  <c r="AF335" i="2" s="1"/>
  <c r="AE336" i="2"/>
  <c r="AF336" i="2" s="1"/>
  <c r="AE337" i="2"/>
  <c r="AF337" i="2" s="1"/>
  <c r="AE338" i="2"/>
  <c r="AF338" i="2" s="1"/>
  <c r="AE339" i="2"/>
  <c r="AF339" i="2" s="1"/>
  <c r="AE340" i="2"/>
  <c r="AF340" i="2" s="1"/>
  <c r="AE341" i="2"/>
  <c r="AF341" i="2" s="1"/>
  <c r="AE342" i="2"/>
  <c r="AF342" i="2" s="1"/>
  <c r="AE343" i="2"/>
  <c r="AF343" i="2" s="1"/>
  <c r="AE344" i="2"/>
  <c r="AF344" i="2" s="1"/>
  <c r="AE345" i="2"/>
  <c r="AF345" i="2" s="1"/>
  <c r="AE346" i="2"/>
  <c r="AF346" i="2" s="1"/>
  <c r="AE347" i="2"/>
  <c r="AF347" i="2" s="1"/>
  <c r="AE348" i="2"/>
  <c r="AF348" i="2" s="1"/>
  <c r="AE349" i="2"/>
  <c r="AF349" i="2" s="1"/>
  <c r="AE350" i="2"/>
  <c r="AF350" i="2" s="1"/>
  <c r="AE351" i="2"/>
  <c r="AF351" i="2" s="1"/>
  <c r="AE352" i="2"/>
  <c r="AF352" i="2" s="1"/>
  <c r="AE353" i="2"/>
  <c r="AF353" i="2" s="1"/>
  <c r="AE354" i="2"/>
  <c r="AF354" i="2" s="1"/>
  <c r="AE355" i="2"/>
  <c r="AF355" i="2" s="1"/>
  <c r="AE356" i="2"/>
  <c r="AF356" i="2" s="1"/>
  <c r="AE357" i="2"/>
  <c r="AF357" i="2" s="1"/>
  <c r="AE358" i="2"/>
  <c r="AF358" i="2" s="1"/>
  <c r="AE359" i="2"/>
  <c r="AF359" i="2" s="1"/>
  <c r="AE360" i="2"/>
  <c r="AF360" i="2" s="1"/>
  <c r="AE361" i="2"/>
  <c r="AF361" i="2" s="1"/>
  <c r="AE362" i="2"/>
  <c r="AF362" i="2" s="1"/>
  <c r="AE363" i="2"/>
  <c r="AF363" i="2" s="1"/>
  <c r="AE364" i="2"/>
  <c r="AF364" i="2" s="1"/>
  <c r="AE365" i="2"/>
  <c r="AF365" i="2" s="1"/>
  <c r="AE366" i="2"/>
  <c r="AF366" i="2" s="1"/>
  <c r="AE367" i="2"/>
  <c r="AF367" i="2" s="1"/>
  <c r="AE368" i="2"/>
  <c r="AF368" i="2" s="1"/>
  <c r="AE369" i="2"/>
  <c r="AF369" i="2" s="1"/>
  <c r="AE370" i="2"/>
  <c r="AF370" i="2" s="1"/>
  <c r="AE371" i="2"/>
  <c r="AF371" i="2" s="1"/>
  <c r="AE372" i="2"/>
  <c r="AF372" i="2" s="1"/>
  <c r="AE373" i="2"/>
  <c r="AF373" i="2" s="1"/>
  <c r="AJ19" i="15" l="1"/>
  <c r="AJ20" i="15"/>
  <c r="AJ21" i="15"/>
  <c r="AJ22" i="15"/>
  <c r="AJ23" i="15"/>
  <c r="AJ24" i="15"/>
  <c r="AJ25" i="15"/>
  <c r="G36" i="18"/>
  <c r="G37" i="18"/>
  <c r="G38" i="18"/>
  <c r="G39" i="18"/>
  <c r="G40" i="18"/>
  <c r="AG4" i="13"/>
  <c r="AG9" i="13"/>
  <c r="D17" i="13"/>
  <c r="D23" i="13"/>
  <c r="D27" i="13"/>
  <c r="D16" i="13"/>
  <c r="AG6" i="13"/>
  <c r="AG11" i="13"/>
  <c r="D19" i="13"/>
  <c r="D21" i="13"/>
  <c r="D25" i="13"/>
  <c r="AG3" i="13"/>
  <c r="AG10" i="13"/>
  <c r="AG8" i="13"/>
  <c r="AG13" i="13"/>
  <c r="D20" i="13"/>
  <c r="D22" i="13"/>
  <c r="D26" i="13"/>
  <c r="AG7" i="13"/>
  <c r="AG12" i="13"/>
  <c r="D18" i="13"/>
  <c r="D24" i="13"/>
  <c r="AG5" i="13"/>
  <c r="AG19" i="15"/>
  <c r="I36" i="15"/>
  <c r="I38" i="15"/>
  <c r="AG21" i="15"/>
  <c r="G39" i="15"/>
  <c r="H39" i="15"/>
  <c r="I39" i="15" s="1"/>
  <c r="G37" i="15"/>
  <c r="H37" i="15"/>
  <c r="B14" i="7"/>
  <c r="C11" i="7" s="1"/>
  <c r="AG17" i="15"/>
  <c r="AG18" i="15"/>
  <c r="AG25" i="15"/>
  <c r="AJ17" i="15"/>
  <c r="AG26" i="15"/>
  <c r="AG27" i="15"/>
  <c r="AG28" i="15"/>
  <c r="I37" i="15" l="1"/>
  <c r="K15" i="13"/>
  <c r="L15" i="13" s="1"/>
  <c r="K16" i="13"/>
  <c r="L16" i="13" s="1"/>
  <c r="D28" i="13"/>
  <c r="C3" i="7"/>
  <c r="C4" i="7"/>
  <c r="C5" i="7"/>
  <c r="C6" i="7"/>
  <c r="C7" i="7"/>
  <c r="C8" i="7"/>
  <c r="C9" i="7"/>
  <c r="C10" i="7"/>
  <c r="C13" i="7"/>
  <c r="C12" i="7"/>
</calcChain>
</file>

<file path=xl/sharedStrings.xml><?xml version="1.0" encoding="utf-8"?>
<sst xmlns="http://schemas.openxmlformats.org/spreadsheetml/2006/main" count="2618" uniqueCount="117">
  <si>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</si>
  <si>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</si>
  <si>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</si>
  <si>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</si>
  <si>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</si>
  <si>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</si>
  <si>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</si>
  <si>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</si>
  <si>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</si>
  <si>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</si>
  <si>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</si>
  <si>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</si>
  <si>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</si>
  <si>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</si>
  <si>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</si>
  <si>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</si>
  <si>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</si>
  <si>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</si>
  <si>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</si>
  <si>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</si>
  <si>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</si>
  <si>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</si>
  <si>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</si>
  <si>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</si>
  <si>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</si>
  <si>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</si>
  <si>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</si>
  <si>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</si>
  <si>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</si>
  <si>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</si>
  <si>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</si>
  <si>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</si>
  <si>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</si>
  <si>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</si>
  <si>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</si>
  <si>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</si>
  <si>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</si>
  <si>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</si>
  <si>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</si>
  <si>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</si>
  <si>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</si>
  <si>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</si>
  <si>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</si>
  <si>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</si>
  <si>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</si>
  <si>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</si>
  <si>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</si>
  <si>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</si>
  <si>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</si>
  <si>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Month NO.</t>
  </si>
  <si>
    <t>Date</t>
  </si>
  <si>
    <t>Food</t>
  </si>
  <si>
    <t>Pan/Tabacco</t>
  </si>
  <si>
    <t>Energy</t>
  </si>
  <si>
    <t>Household</t>
  </si>
  <si>
    <t>Transport</t>
  </si>
  <si>
    <t xml:space="preserve">Personal Care </t>
  </si>
  <si>
    <t>Education/Recreation</t>
  </si>
  <si>
    <t>Contribution</t>
  </si>
  <si>
    <t>Genearl YoY%</t>
  </si>
  <si>
    <t>year</t>
  </si>
  <si>
    <t>Avg YoY%</t>
  </si>
  <si>
    <t>Food_Index</t>
  </si>
  <si>
    <t>Food MoM%</t>
  </si>
  <si>
    <t>Lowest Food MoM</t>
  </si>
  <si>
    <t>Highest Food MoM</t>
  </si>
  <si>
    <t>Category</t>
  </si>
  <si>
    <t>Abs Change</t>
  </si>
  <si>
    <t>Jun-22</t>
  </si>
  <si>
    <t>May-23</t>
  </si>
  <si>
    <r>
      <t>Biggest Induvidual Category Is</t>
    </r>
    <r>
      <rPr>
        <b/>
        <sz val="11"/>
        <color theme="1"/>
        <rFont val="Calibri"/>
        <family val="2"/>
        <scheme val="minor"/>
      </rPr>
      <t xml:space="preserve"> Spices</t>
    </r>
  </si>
  <si>
    <t>Food Index</t>
  </si>
  <si>
    <t>Food YoY %</t>
  </si>
  <si>
    <t>Health YoY %</t>
  </si>
  <si>
    <t>Essential Index</t>
  </si>
  <si>
    <t>Ess YoY %</t>
  </si>
  <si>
    <t>General YoY %</t>
  </si>
  <si>
    <t>General CPI</t>
  </si>
  <si>
    <t>Essential services</t>
  </si>
  <si>
    <t>Pre-COVID Avg</t>
  </si>
  <si>
    <t>Post_COVID avg</t>
  </si>
  <si>
    <t>Inflation</t>
  </si>
  <si>
    <t>Fuel_MoM%</t>
  </si>
  <si>
    <t>Food_MoM%</t>
  </si>
  <si>
    <t>Transport_MoM%</t>
  </si>
  <si>
    <t>Clothing_MoM%</t>
  </si>
  <si>
    <t>Health_MoM%</t>
  </si>
  <si>
    <t>General_MoM%</t>
  </si>
  <si>
    <t>Corr_fuel_MoM</t>
  </si>
  <si>
    <t>Food MoM</t>
  </si>
  <si>
    <t>Transport MoM</t>
  </si>
  <si>
    <t>Clothing MoM</t>
  </si>
  <si>
    <t>Health MoM</t>
  </si>
  <si>
    <t>General MoM</t>
  </si>
  <si>
    <t>Broader buckets2</t>
  </si>
  <si>
    <t xml:space="preserve">Sum </t>
  </si>
  <si>
    <t>Latest Month Contribution Using Equal-Weight Board Bucket</t>
  </si>
  <si>
    <t>Board buckets</t>
  </si>
  <si>
    <t>2022 Shows the Highest Average Inflation in the Analysis period</t>
  </si>
  <si>
    <t>Food, Fuel,and transport pressure were key Drivers</t>
  </si>
  <si>
    <t>Latest Month</t>
  </si>
  <si>
    <t>Final month used for analysis</t>
  </si>
  <si>
    <t>Top Broad Category</t>
  </si>
  <si>
    <t>Pan/Tobacco</t>
  </si>
  <si>
    <t>Highest Contribution In latest month</t>
  </si>
  <si>
    <t>Peak  YoY Inflation Year</t>
  </si>
  <si>
    <t xml:space="preserve">Highest average inflation in the series </t>
  </si>
  <si>
    <t>Highest Food Inflation Month</t>
  </si>
  <si>
    <t>Within 12 months ending May 2023</t>
  </si>
  <si>
    <t>Highest correlation with Fuel proxy</t>
  </si>
  <si>
    <t>COVID Benchmark</t>
  </si>
  <si>
    <t>First Lockdown onset month</t>
  </si>
  <si>
    <t>Strongest Oil Linkage Category</t>
  </si>
  <si>
    <t>Comparison of pre-COVID and post-COVID inflation using March 2020 as the first lockdown benchmark</t>
  </si>
  <si>
    <t>Fuel and Light MoM inflation is used as a proxy for oil-price fluctuations because the workbook does not contain a separate crude oil series.</t>
  </si>
  <si>
    <t>Q4. COVID-19 Impact on Inflation</t>
  </si>
  <si>
    <t xml:space="preserve">Source: Government of India CPI dataset. Dashboard prepared from workbook analysis.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</si>
</sst>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/yyyy"/>
    <numFmt numFmtId="165" formatCode="0.0"/>
    <numFmt numFmtId="166" formatCode="0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1"/>
      <color theme="3"/>
      <name val="Times New Roman"/>
      <family val="1"/>
    </font>
    <font>
      <b/>
      <sz val="14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16"/>
      <color rgb="FF002060"/>
      <name val="Times New Roman"/>
      <family val="1"/>
    </font>
    <font>
      <b/>
      <sz val="18"/>
      <color rgb="FF00206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35" borderId="0" applyFont="0" applyAlignment="0">
      <alignment horizontal="center" vertical="top"/>
    </xf>
  </cellStyleXfs>
  <cellXfs count="51">
    <xf numFmtId="0" fontId="0" fillId="0" borderId="0" xfId="0"/>
    <xf numFmtId="0" fontId="13" fillId="33" borderId="10" xfId="0" applyFont="1" applyFill="1" applyBorder="1"/>
    <xf numFmtId="0" fontId="0" fillId="0" borderId="10" xfId="0" applyBorder="1"/>
    <xf numFmtId="0" fontId="0" fillId="34" borderId="10" xfId="0" applyFill="1" applyBorder="1"/>
    <xf numFmtId="0" fontId="0" fillId="0" borderId="12" xfId="0" applyBorder="1"/>
    <xf numFmtId="0" fontId="0" fillId="34" borderId="12" xfId="0" applyFill="1" applyBorder="1"/>
    <xf numFmtId="0" fontId="13" fillId="33" borderId="12" xfId="0" applyFont="1" applyFill="1" applyBorder="1"/>
    <xf numFmtId="164" fontId="0" fillId="0" borderId="0" xfId="0" applyNumberFormat="1"/>
    <xf numFmtId="164" fontId="0" fillId="34" borderId="11" xfId="0" applyNumberFormat="1" applyFill="1" applyBorder="1"/>
    <xf numFmtId="164" fontId="0" fillId="0" borderId="11" xfId="0" applyNumberFormat="1" applyBorder="1"/>
    <xf numFmtId="164" fontId="13" fillId="33" borderId="11" xfId="0" applyNumberFormat="1" applyFont="1" applyFill="1" applyBorder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13" fillId="33" borderId="10" xfId="0" applyFont="1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13" fillId="33" borderId="0" xfId="0" applyFont="1" applyFill="1"/>
    <xf numFmtId="0" fontId="0" fillId="34" borderId="0" xfId="0" applyFill="1"/>
    <xf numFmtId="10" fontId="13" fillId="33" borderId="0" xfId="0" applyNumberFormat="1" applyFont="1" applyFill="1"/>
    <xf numFmtId="17" fontId="0" fillId="0" borderId="0" xfId="0" applyNumberFormat="1"/>
    <xf numFmtId="166" fontId="0" fillId="0" borderId="0" xfId="0" applyNumberFormat="1"/>
    <xf numFmtId="0" fontId="18" fillId="0" borderId="0" xfId="0" applyFont="1"/>
    <xf numFmtId="0" fontId="19" fillId="0" borderId="0" xfId="0" applyFont="1"/>
    <xf numFmtId="0" fontId="16" fillId="0" borderId="0" xfId="0" applyFont="1"/>
    <xf numFmtId="10" fontId="16" fillId="0" borderId="0" xfId="0" applyNumberFormat="1" applyFont="1"/>
    <xf numFmtId="164" fontId="16" fillId="0" borderId="0" xfId="0" applyNumberFormat="1" applyFont="1"/>
    <xf numFmtId="0" fontId="0" fillId="0" borderId="0" xfId="0" applyAlignment="1">
      <alignment horizontal="center"/>
    </xf>
    <xf numFmtId="0" fontId="24" fillId="0" borderId="0" xfId="0" applyFont="1"/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horizontal="center"/>
    </xf>
    <xf numFmtId="0" fontId="22" fillId="35" borderId="13" xfId="0" applyFont="1" applyFill="1" applyBorder="1" applyAlignment="1">
      <alignment horizontal="center" vertical="top"/>
    </xf>
    <xf numFmtId="17" fontId="21" fillId="35" borderId="14" xfId="0" applyNumberFormat="1" applyFont="1" applyFill="1" applyBorder="1" applyAlignment="1">
      <alignment horizontal="center"/>
    </xf>
    <xf numFmtId="0" fontId="22" fillId="35" borderId="13" xfId="0" applyFont="1" applyFill="1" applyBorder="1" applyAlignment="1">
      <alignment horizontal="center"/>
    </xf>
    <xf numFmtId="0" fontId="21" fillId="35" borderId="14" xfId="0" applyFont="1" applyFill="1" applyBorder="1" applyAlignment="1">
      <alignment horizontal="center"/>
    </xf>
    <xf numFmtId="17" fontId="23" fillId="35" borderId="14" xfId="0" applyNumberFormat="1" applyFont="1" applyFill="1" applyBorder="1" applyAlignment="1">
      <alignment horizontal="center"/>
    </xf>
    <xf numFmtId="0" fontId="25" fillId="35" borderId="15" xfId="0" applyFont="1" applyFill="1" applyBorder="1" applyAlignment="1">
      <alignment horizontal="center" vertical="top"/>
    </xf>
    <xf numFmtId="0" fontId="25" fillId="35" borderId="15" xfId="0" applyFont="1" applyFill="1" applyBorder="1" applyAlignment="1">
      <alignment horizontal="center"/>
    </xf>
    <xf numFmtId="0" fontId="26" fillId="0" borderId="0" xfId="0" applyFont="1"/>
    <xf numFmtId="0" fontId="28" fillId="0" borderId="0" xfId="0" applyFont="1" applyAlignment="1">
      <alignment vertical="center"/>
    </xf>
    <xf numFmtId="0" fontId="31" fillId="0" borderId="0" xfId="0" applyFont="1"/>
    <xf numFmtId="0" fontId="30" fillId="0" borderId="0" xfId="0" applyFont="1"/>
    <xf numFmtId="0" fontId="2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tyle 1" xfId="42" xr:uid="{E6D02B28-3E52-41C5-88B2-3D6EB9FAEE13}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numFmt numFmtId="2" formatCode="0.00"/>
    </dxf>
    <dxf>
      <numFmt numFmtId="166" formatCode="0.0%"/>
    </dxf>
    <dxf>
      <numFmt numFmtId="164" formatCode="m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F9-4840-8974-2079351E8C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F9-4840-8974-2079351E8CC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F9-4840-8974-2079351E8CC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F9-4840-8974-2079351E8CC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0F9-4840-8974-2079351E8CC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0F9-4840-8974-2079351E8CC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0F9-4840-8974-2079351E8CC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0F9-4840-8974-2079351E8CC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0F9-4840-8974-2079351E8CC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0F9-4840-8974-2079351E8CC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B0F9-4840-8974-2079351E8C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Q1_Basket_Contribution!$A$3:$A$13</c:f>
              <c:strCache>
                <c:ptCount val="11"/>
                <c:pt idx="0">
                  <c:v>Food</c:v>
                </c:pt>
                <c:pt idx="1">
                  <c:v>Pan/Tabacco</c:v>
                </c:pt>
                <c:pt idx="2">
                  <c:v>Clothing</c:v>
                </c:pt>
                <c:pt idx="3">
                  <c:v>Housing</c:v>
                </c:pt>
                <c:pt idx="4">
                  <c:v>Energy</c:v>
                </c:pt>
                <c:pt idx="5">
                  <c:v>Household</c:v>
                </c:pt>
                <c:pt idx="6">
                  <c:v>Health</c:v>
                </c:pt>
                <c:pt idx="7">
                  <c:v>Transport</c:v>
                </c:pt>
                <c:pt idx="8">
                  <c:v>Education/Recreation</c:v>
                </c:pt>
                <c:pt idx="9">
                  <c:v>Personal Care </c:v>
                </c:pt>
                <c:pt idx="10">
                  <c:v>Miscellaneous</c:v>
                </c:pt>
              </c:strCache>
            </c:strRef>
          </c:cat>
          <c:val>
            <c:numRef>
              <c:f>Q1_Basket_Contribution!$C$3:$C$13</c:f>
              <c:numCache>
                <c:formatCode>0.0%</c:formatCode>
                <c:ptCount val="11"/>
                <c:pt idx="0">
                  <c:v>8.9510171801645666E-2</c:v>
                </c:pt>
                <c:pt idx="1">
                  <c:v>0.10146561443066517</c:v>
                </c:pt>
                <c:pt idx="2">
                  <c:v>9.2631543522522675E-2</c:v>
                </c:pt>
                <c:pt idx="3">
                  <c:v>8.864359151256121E-2</c:v>
                </c:pt>
                <c:pt idx="4">
                  <c:v>9.2278180686196976E-2</c:v>
                </c:pt>
                <c:pt idx="5">
                  <c:v>8.8441669891803659E-2</c:v>
                </c:pt>
                <c:pt idx="6">
                  <c:v>9.3742112436689146E-2</c:v>
                </c:pt>
                <c:pt idx="7">
                  <c:v>8.319170775210756E-2</c:v>
                </c:pt>
                <c:pt idx="8">
                  <c:v>8.7911625637315097E-2</c:v>
                </c:pt>
                <c:pt idx="9">
                  <c:v>9.3489710410742222E-2</c:v>
                </c:pt>
                <c:pt idx="10">
                  <c:v>8.8694071917750583E-2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0F9-4840-8974-2079351E8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39018511"/>
        <c:axId val="1339025231"/>
      </c:barChart>
      <c:valAx>
        <c:axId val="1339025231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18511"/>
        <c:crosses val="autoZero"/>
        <c:crossBetween val="between"/>
      </c:valAx>
      <c:catAx>
        <c:axId val="133901851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25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rgbClr val="002060"/>
                </a:solidFill>
                <a:effectLst/>
                <a:latin typeface="+mn-lt"/>
              </a:rPr>
              <a:t>Rural+Urban CPI YoY Inflation Trend, 2017-2023</a:t>
            </a:r>
            <a:endParaRPr lang="en-US" b="1">
              <a:solidFill>
                <a:srgbClr val="00206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20474612512985824"/>
          <c:y val="3.6692168792451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'Q2_YoY Trend'!$G$1</c:f>
              <c:strCache>
                <c:ptCount val="1"/>
                <c:pt idx="0">
                  <c:v>Avg YoY%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B7-474E-8539-BB5699B89D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'Q2_YoY Trend'!$F$2:$F$7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'Q2_YoY Trend'!$G$2:$G$7</c:f>
              <c:numCache>
                <c:formatCode>0.00</c:formatCode>
                <c:ptCount val="6"/>
                <c:pt idx="0">
                  <c:v>3.3273885375365366</c:v>
                </c:pt>
                <c:pt idx="1">
                  <c:v>3.9676971910429089</c:v>
                </c:pt>
                <c:pt idx="2">
                  <c:v>3.9729559917622894</c:v>
                </c:pt>
                <c:pt idx="3">
                  <c:v>6.3156967310676686</c:v>
                </c:pt>
                <c:pt idx="4">
                  <c:v>6.6240649804989218</c:v>
                </c:pt>
                <c:pt idx="5">
                  <c:v>5.5756721664536073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7-474E-8539-BB5699B89DE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47651104"/>
        <c:axId val="547656864"/>
      </c:barChart>
      <c:catAx>
        <c:axId val="5476511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56864"/>
        <c:crosses val="autoZero"/>
        <c:auto val="1"/>
        <c:lblAlgn val="ctr"/>
        <c:lblOffset val="100"/>
        <c:noMultiLvlLbl val="0"/>
      </c:catAx>
      <c:valAx>
        <c:axId val="54765686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YoY</a:t>
                </a:r>
                <a:r>
                  <a:rPr lang="en-IN" baseline="0"/>
                  <a:t>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crossAx val="54765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27559055118109"/>
          <c:y val="0.17374999999999999"/>
          <c:w val="0.7851688538932633"/>
          <c:h val="0.7013192621755614"/>
        </c:manualLayout>
      </c:layout>
      <c:lineChart>
        <c:grouping val="standard"/>
        <c:varyColors val="0"/>
        <c:ser>
          <c:idx val="0"/>
          <c:order val="0"/>
          <c:tx>
            <c:strRef>
              <c:f>' Q3_Food_Analysis'!$AG$1</c:f>
              <c:strCache>
                <c:ptCount val="1"/>
                <c:pt idx="0">
                  <c:v>Food MoM%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F62-4D54-8B38-7BDFAD063E99}"/>
                </c:ext>
              </c:extLst>
            </c:dLbl>
            <c:dLbl>
              <c:idx val="11"/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7F62-4D54-8B38-7BDFAD063E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 Q3_Food_Analysis'!$AE$2:$AE$13</c:f>
              <c:numCache>
                <c:formatCode>mmm/yyyy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 Q3_Food_Analysis'!$AG$2:$AG$13</c:f>
              <c:numCache>
                <c:formatCode>0.00%</c:formatCode>
                <c:ptCount val="12"/>
                <c:pt idx="1">
                  <c:v>0.20603737422137913</c:v>
                </c:pt>
                <c:pt idx="2">
                  <c:v>7.6507435566389753E-2</c:v>
                </c:pt>
                <c:pt idx="3">
                  <c:v>0.487362033541972</c:v>
                </c:pt>
                <c:pt idx="4">
                  <c:v>0.694213304170052</c:v>
                </c:pt>
                <c:pt idx="5">
                  <c:v>3.7776833356925596E-2</c:v>
                </c:pt>
                <c:pt idx="6">
                  <c:v>-0.51923530800093876</c:v>
                </c:pt>
                <c:pt idx="7">
                  <c:v>0.40332147093713466</c:v>
                </c:pt>
                <c:pt idx="8">
                  <c:v>-0.65689981096409811</c:v>
                </c:pt>
                <c:pt idx="9">
                  <c:v>4.7571476142861452E-3</c:v>
                </c:pt>
                <c:pt idx="10">
                  <c:v>0.4519075254495562</c:v>
                </c:pt>
                <c:pt idx="11">
                  <c:v>0.76241890420040825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1-46DE-83A9-E6D58F7F99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67092768"/>
        <c:axId val="767094208"/>
      </c:lineChart>
      <c:catAx>
        <c:axId val="76709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/yy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094208"/>
        <c:crosses val="autoZero"/>
        <c:auto val="0"/>
        <c:lblAlgn val="ctr"/>
        <c:lblOffset val="100"/>
        <c:noMultiLvlLbl val="0"/>
      </c:catAx>
      <c:valAx>
        <c:axId val="76709420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Food inflation%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7670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Oil Impact: Category Correlation With Fuel MoM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9496592363924"/>
          <c:y val="0.19288367629026631"/>
          <c:w val="0.88890507436570432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Q5_Oil_linkage'!$G$35</c:f>
              <c:strCache>
                <c:ptCount val="1"/>
                <c:pt idx="0">
                  <c:v>Corr_fuel_MoM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43C-40A6-B9DE-41F344C261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Q5_Oil_linkage'!$F$36:$F$40</c:f>
              <c:strCache>
                <c:ptCount val="5"/>
                <c:pt idx="0">
                  <c:v>Food MoM</c:v>
                </c:pt>
                <c:pt idx="1">
                  <c:v>General MoM</c:v>
                </c:pt>
                <c:pt idx="2">
                  <c:v>Health MoM</c:v>
                </c:pt>
                <c:pt idx="3">
                  <c:v>Clothing MoM</c:v>
                </c:pt>
                <c:pt idx="4">
                  <c:v>Transport MoM</c:v>
                </c:pt>
              </c:strCache>
            </c:strRef>
          </c:cat>
          <c:val>
            <c:numRef>
              <c:f>' Q5_Oil_linkage'!$G$36:$G$40</c:f>
              <c:numCache>
                <c:formatCode>0.00</c:formatCode>
                <c:ptCount val="5"/>
                <c:pt idx="0">
                  <c:v>-4.1228945436173121E-2</c:v>
                </c:pt>
                <c:pt idx="1">
                  <c:v>0.26303060954621443</c:v>
                </c:pt>
                <c:pt idx="2">
                  <c:v>0.46822538991991924</c:v>
                </c:pt>
                <c:pt idx="3">
                  <c:v>0.53195367884287248</c:v>
                </c:pt>
                <c:pt idx="4">
                  <c:v>0.60416476808462904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3-4FAF-847A-AAF0F7F776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77111472"/>
        <c:axId val="477113392"/>
      </c:barChart>
      <c:catAx>
        <c:axId val="47711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13392"/>
        <c:crosses val="autoZero"/>
        <c:auto val="1"/>
        <c:lblAlgn val="ctr"/>
        <c:lblOffset val="100"/>
        <c:noMultiLvlLbl val="0"/>
      </c:catAx>
      <c:valAx>
        <c:axId val="47711339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>
                    <a:effectLst/>
                  </a:rPr>
                  <a:t>Corr_fuel_MoM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5.5861329865450664E-2"/>
              <c:y val="0.35233454543967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crossAx val="47711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rgbClr val="002060"/>
                </a:solidFill>
                <a:effectLst/>
              </a:rPr>
              <a:t>Impact of COVID-19 on CPI Inflation in India</a:t>
            </a:r>
            <a:endParaRPr lang="en-IN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25381889763779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Q4_COVID_Impact'!$AG$4</c:f>
              <c:strCache>
                <c:ptCount val="1"/>
                <c:pt idx="0">
                  <c:v>Food YoY 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 Q4_COVID_Impact'!$B$5:$B$28</c15:sqref>
                  </c15:fullRef>
                </c:ext>
              </c:extLst>
              <c:f>' Q4_COVID_Impact'!$B$18:$B$28</c:f>
              <c:numCache>
                <c:formatCode>mmm/yyyy</c:formatCode>
                <c:ptCount val="11"/>
                <c:pt idx="0">
                  <c:v>43952</c:v>
                </c:pt>
                <c:pt idx="1">
                  <c:v>43983</c:v>
                </c:pt>
                <c:pt idx="2">
                  <c:v>44013</c:v>
                </c:pt>
                <c:pt idx="3">
                  <c:v>44044</c:v>
                </c:pt>
                <c:pt idx="4">
                  <c:v>44075</c:v>
                </c:pt>
                <c:pt idx="5">
                  <c:v>44105</c:v>
                </c:pt>
                <c:pt idx="6">
                  <c:v>44136</c:v>
                </c:pt>
                <c:pt idx="7">
                  <c:v>44166</c:v>
                </c:pt>
                <c:pt idx="8">
                  <c:v>44197</c:v>
                </c:pt>
                <c:pt idx="9">
                  <c:v>44228</c:v>
                </c:pt>
                <c:pt idx="10">
                  <c:v>44256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Q4_COVID_Impact'!$AG$5:$AG$28</c15:sqref>
                  </c15:fullRef>
                </c:ext>
              </c:extLst>
              <c:f>' Q4_COVID_Impact'!$AG$18:$AG$28</c:f>
              <c:numCache>
                <c:formatCode>General</c:formatCode>
                <c:ptCount val="11"/>
                <c:pt idx="0" formatCode="0.00%">
                  <c:v>9.62507571168989E-2</c:v>
                </c:pt>
                <c:pt idx="1" formatCode="0.00%">
                  <c:v>8.4599736747636989E-2</c:v>
                </c:pt>
                <c:pt idx="2" formatCode="0.00%">
                  <c:v>7.0888468809073846E-2</c:v>
                </c:pt>
                <c:pt idx="3" formatCode="0.00%">
                  <c:v>8.0912619075620196E-2</c:v>
                </c:pt>
                <c:pt idx="4" formatCode="0.00%">
                  <c:v>8.0844098906880379E-2</c:v>
                </c:pt>
                <c:pt idx="5" formatCode="0.00%">
                  <c:v>8.7096774193548443E-2</c:v>
                </c:pt>
                <c:pt idx="6" formatCode="0.00%">
                  <c:v>9.772598067083571E-2</c:v>
                </c:pt>
                <c:pt idx="7" formatCode="0.00%">
                  <c:v>8.5199039696275847E-2</c:v>
                </c:pt>
                <c:pt idx="8" formatCode="0.00%">
                  <c:v>7.1968213106497148E-2</c:v>
                </c:pt>
                <c:pt idx="9" formatCode="0.00%">
                  <c:v>6.887740616660043E-2</c:v>
                </c:pt>
                <c:pt idx="10" formatCode="0.00%">
                  <c:v>7.7984540509590472E-2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2-4571-A234-9FC1201FFFB9}"/>
            </c:ext>
          </c:extLst>
        </c:ser>
        <c:ser>
          <c:idx val="1"/>
          <c:order val="1"/>
          <c:tx>
            <c:strRef>
              <c:f>' Q4_COVID_Impact'!$AH$4</c:f>
              <c:strCache>
                <c:ptCount val="1"/>
                <c:pt idx="0">
                  <c:v>Health YoY %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 Q4_COVID_Impact'!$B$5:$B$28</c15:sqref>
                  </c15:fullRef>
                </c:ext>
              </c:extLst>
              <c:f>' Q4_COVID_Impact'!$B$18:$B$28</c:f>
              <c:numCache>
                <c:formatCode>mmm/yyyy</c:formatCode>
                <c:ptCount val="11"/>
                <c:pt idx="0">
                  <c:v>43952</c:v>
                </c:pt>
                <c:pt idx="1">
                  <c:v>43983</c:v>
                </c:pt>
                <c:pt idx="2">
                  <c:v>44013</c:v>
                </c:pt>
                <c:pt idx="3">
                  <c:v>44044</c:v>
                </c:pt>
                <c:pt idx="4">
                  <c:v>44075</c:v>
                </c:pt>
                <c:pt idx="5">
                  <c:v>44105</c:v>
                </c:pt>
                <c:pt idx="6">
                  <c:v>44136</c:v>
                </c:pt>
                <c:pt idx="7">
                  <c:v>44166</c:v>
                </c:pt>
                <c:pt idx="8">
                  <c:v>44197</c:v>
                </c:pt>
                <c:pt idx="9">
                  <c:v>44228</c:v>
                </c:pt>
                <c:pt idx="10">
                  <c:v>44256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Q4_COVID_Impact'!$AH$5:$AH$28</c15:sqref>
                  </c15:fullRef>
                </c:ext>
              </c:extLst>
              <c:f>' Q4_COVID_Impact'!$AH$18:$AH$28</c:f>
              <c:numCache>
                <c:formatCode>General</c:formatCode>
                <c:ptCount val="11"/>
                <c:pt idx="0" formatCode="0.00%">
                  <c:v>3.8461538461538547E-2</c:v>
                </c:pt>
                <c:pt idx="1" formatCode="0.00%">
                  <c:v>4.7489823609226489E-2</c:v>
                </c:pt>
                <c:pt idx="2" formatCode="0.00%">
                  <c:v>4.3948613928330049E-2</c:v>
                </c:pt>
                <c:pt idx="3" formatCode="0.00%">
                  <c:v>4.3771043771043683E-2</c:v>
                </c:pt>
                <c:pt idx="4" formatCode="0.00%">
                  <c:v>4.4295302013422688E-2</c:v>
                </c:pt>
                <c:pt idx="5" formatCode="0.00%">
                  <c:v>4.6184738955823423E-2</c:v>
                </c:pt>
                <c:pt idx="6" formatCode="0.00%">
                  <c:v>4.8699132755170016E-2</c:v>
                </c:pt>
                <c:pt idx="7" formatCode="0.00%">
                  <c:v>5.2526595744680993E-2</c:v>
                </c:pt>
                <c:pt idx="8" formatCode="0.00%">
                  <c:v>5.3571428571428825E-2</c:v>
                </c:pt>
                <c:pt idx="9" formatCode="0.00%">
                  <c:v>6.3282794990112246E-2</c:v>
                </c:pt>
                <c:pt idx="10" formatCode="0.00%">
                  <c:v>6.1720288903479803E-2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72-4571-A234-9FC1201FFFB9}"/>
            </c:ext>
          </c:extLst>
        </c:ser>
        <c:ser>
          <c:idx val="2"/>
          <c:order val="2"/>
          <c:tx>
            <c:strRef>
              <c:f>' Q4_COVID_Impact'!$AJ$4</c:f>
              <c:strCache>
                <c:ptCount val="1"/>
                <c:pt idx="0">
                  <c:v>Ess YoY %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 Q4_COVID_Impact'!$B$5:$B$28</c15:sqref>
                  </c15:fullRef>
                </c:ext>
              </c:extLst>
              <c:f>' Q4_COVID_Impact'!$B$18:$B$28</c:f>
              <c:numCache>
                <c:formatCode>mmm/yyyy</c:formatCode>
                <c:ptCount val="11"/>
                <c:pt idx="0">
                  <c:v>43952</c:v>
                </c:pt>
                <c:pt idx="1">
                  <c:v>43983</c:v>
                </c:pt>
                <c:pt idx="2">
                  <c:v>44013</c:v>
                </c:pt>
                <c:pt idx="3">
                  <c:v>44044</c:v>
                </c:pt>
                <c:pt idx="4">
                  <c:v>44075</c:v>
                </c:pt>
                <c:pt idx="5">
                  <c:v>44105</c:v>
                </c:pt>
                <c:pt idx="6">
                  <c:v>44136</c:v>
                </c:pt>
                <c:pt idx="7">
                  <c:v>44166</c:v>
                </c:pt>
                <c:pt idx="8">
                  <c:v>44197</c:v>
                </c:pt>
                <c:pt idx="9">
                  <c:v>44228</c:v>
                </c:pt>
                <c:pt idx="10">
                  <c:v>44256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Q4_COVID_Impact'!$AJ$5:$AJ$28</c15:sqref>
                  </c15:fullRef>
                </c:ext>
              </c:extLst>
              <c:f>' Q4_COVID_Impact'!$AJ$18:$AJ$28</c:f>
              <c:numCache>
                <c:formatCode>General</c:formatCode>
                <c:ptCount val="11"/>
                <c:pt idx="0" formatCode="0.00%">
                  <c:v>-1.2669891730015981E-2</c:v>
                </c:pt>
                <c:pt idx="1" formatCode="0.00%">
                  <c:v>1.9797421731123199E-2</c:v>
                </c:pt>
                <c:pt idx="2" formatCode="0.00%">
                  <c:v>2.0502188435844282E-2</c:v>
                </c:pt>
                <c:pt idx="3" formatCode="0.00%">
                  <c:v>2.8301886792452713E-2</c:v>
                </c:pt>
                <c:pt idx="4" formatCode="0.00%">
                  <c:v>2.729357798165144E-2</c:v>
                </c:pt>
                <c:pt idx="5" formatCode="0.00%">
                  <c:v>2.2115823073415308E-2</c:v>
                </c:pt>
                <c:pt idx="6" formatCode="0.00%">
                  <c:v>2.1990478349580789E-2</c:v>
                </c:pt>
                <c:pt idx="7" formatCode="0.00%">
                  <c:v>2.3513452407867952E-2</c:v>
                </c:pt>
                <c:pt idx="8" formatCode="0.00%">
                  <c:v>2.4510906228918605E-2</c:v>
                </c:pt>
                <c:pt idx="9" formatCode="0.00%">
                  <c:v>3.2783229259589763E-2</c:v>
                </c:pt>
                <c:pt idx="10" formatCode="0.00%">
                  <c:v>3.734993330369063E-2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72-4571-A234-9FC1201FFFB9}"/>
            </c:ext>
          </c:extLst>
        </c:ser>
        <c:ser>
          <c:idx val="3"/>
          <c:order val="3"/>
          <c:tx>
            <c:strRef>
              <c:f>' Q4_COVID_Impact'!$AK$4</c:f>
              <c:strCache>
                <c:ptCount val="1"/>
                <c:pt idx="0">
                  <c:v>General YoY %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 Q4_COVID_Impact'!$B$5:$B$28</c15:sqref>
                  </c15:fullRef>
                </c:ext>
              </c:extLst>
              <c:f>' Q4_COVID_Impact'!$B$18:$B$28</c:f>
              <c:numCache>
                <c:formatCode>mmm/yyyy</c:formatCode>
                <c:ptCount val="11"/>
                <c:pt idx="0">
                  <c:v>43952</c:v>
                </c:pt>
                <c:pt idx="1">
                  <c:v>43983</c:v>
                </c:pt>
                <c:pt idx="2">
                  <c:v>44013</c:v>
                </c:pt>
                <c:pt idx="3">
                  <c:v>44044</c:v>
                </c:pt>
                <c:pt idx="4">
                  <c:v>44075</c:v>
                </c:pt>
                <c:pt idx="5">
                  <c:v>44105</c:v>
                </c:pt>
                <c:pt idx="6">
                  <c:v>44136</c:v>
                </c:pt>
                <c:pt idx="7">
                  <c:v>44166</c:v>
                </c:pt>
                <c:pt idx="8">
                  <c:v>44197</c:v>
                </c:pt>
                <c:pt idx="9">
                  <c:v>44228</c:v>
                </c:pt>
                <c:pt idx="10">
                  <c:v>44256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Q4_COVID_Impact'!$AK$5:$AK$28</c15:sqref>
                  </c15:fullRef>
                </c:ext>
              </c:extLst>
              <c:f>' Q4_COVID_Impact'!$AK$18:$AK$28</c:f>
              <c:numCache>
                <c:formatCode>General</c:formatCode>
                <c:ptCount val="11"/>
                <c:pt idx="0" formatCode="0.00%">
                  <c:v>6.3380281690140761E-2</c:v>
                </c:pt>
                <c:pt idx="1" formatCode="0.00%">
                  <c:v>6.2281315605318355E-2</c:v>
                </c:pt>
                <c:pt idx="2" formatCode="0.00%">
                  <c:v>5.2704576976421835E-2</c:v>
                </c:pt>
                <c:pt idx="3" formatCode="0.00%">
                  <c:v>6.1379310344827687E-2</c:v>
                </c:pt>
                <c:pt idx="4" formatCode="0.00%">
                  <c:v>6.104252400548682E-2</c:v>
                </c:pt>
                <c:pt idx="5" formatCode="0.00%">
                  <c:v>6.2500000000000222E-2</c:v>
                </c:pt>
                <c:pt idx="6" formatCode="0.00%">
                  <c:v>6.5948855989232946E-2</c:v>
                </c:pt>
                <c:pt idx="7" formatCode="0.00%">
                  <c:v>5.6515957446808596E-2</c:v>
                </c:pt>
                <c:pt idx="8" formatCode="0.00%">
                  <c:v>4.7270306258322403E-2</c:v>
                </c:pt>
                <c:pt idx="9" formatCode="0.00%">
                  <c:v>5.0301810865191143E-2</c:v>
                </c:pt>
                <c:pt idx="10" formatCode="0.00%">
                  <c:v>5.5181695827725585E-2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72-4571-A234-9FC1201FFF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44258799"/>
        <c:axId val="1244256879"/>
      </c:lineChart>
      <c:dateAx>
        <c:axId val="1244258799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256879"/>
        <c:crosses val="autoZero"/>
        <c:auto val="1"/>
        <c:lblOffset val="100"/>
        <c:baseTimeUnit val="months"/>
      </c:dateAx>
      <c:valAx>
        <c:axId val="12442568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 rate %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25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Broad Category Contribution to CPI Basket 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Q1_Basket_Contribution!$C$2</c:f>
              <c:strCache>
                <c:ptCount val="1"/>
                <c:pt idx="0">
                  <c:v>Contribution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BE-4A83-9386-EB44B1C385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BE-4A83-9386-EB44B1C385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BE-4A83-9386-EB44B1C385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BE-4A83-9386-EB44B1C385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BE-4A83-9386-EB44B1C385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1BE-4A83-9386-EB44B1C3855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1BE-4A83-9386-EB44B1C3855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01BE-4A83-9386-EB44B1C3855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01BE-4A83-9386-EB44B1C3855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01BE-4A83-9386-EB44B1C3855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01BE-4A83-9386-EB44B1C385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Q1_Basket_Contribution!$A$3:$A$14</c15:sqref>
                  </c15:fullRef>
                </c:ext>
              </c:extLst>
              <c:f>Q1_Basket_Contribution!$A$3:$A$13</c:f>
              <c:strCache>
                <c:ptCount val="11"/>
                <c:pt idx="0">
                  <c:v>Food</c:v>
                </c:pt>
                <c:pt idx="1">
                  <c:v>Pan/Tabacco</c:v>
                </c:pt>
                <c:pt idx="2">
                  <c:v>Clothing</c:v>
                </c:pt>
                <c:pt idx="3">
                  <c:v>Housing</c:v>
                </c:pt>
                <c:pt idx="4">
                  <c:v>Energy</c:v>
                </c:pt>
                <c:pt idx="5">
                  <c:v>Household</c:v>
                </c:pt>
                <c:pt idx="6">
                  <c:v>Health</c:v>
                </c:pt>
                <c:pt idx="7">
                  <c:v>Transport</c:v>
                </c:pt>
                <c:pt idx="8">
                  <c:v>Education/Recreation</c:v>
                </c:pt>
                <c:pt idx="9">
                  <c:v>Personal Care </c:v>
                </c:pt>
                <c:pt idx="10">
                  <c:v>Miscellaneous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Q1_Basket_Contribution!$C$3:$C$14</c15:sqref>
                  </c15:fullRef>
                </c:ext>
              </c:extLst>
              <c:f>Q1_Basket_Contribution!$C$3:$C$13</c:f>
              <c:numCache>
                <c:formatCode>0.0%</c:formatCode>
                <c:ptCount val="11"/>
                <c:pt idx="0">
                  <c:v>8.9510171801645666E-2</c:v>
                </c:pt>
                <c:pt idx="1">
                  <c:v>0.10146561443066517</c:v>
                </c:pt>
                <c:pt idx="2">
                  <c:v>9.2631543522522675E-2</c:v>
                </c:pt>
                <c:pt idx="3">
                  <c:v>8.864359151256121E-2</c:v>
                </c:pt>
                <c:pt idx="4">
                  <c:v>9.2278180686196976E-2</c:v>
                </c:pt>
                <c:pt idx="5">
                  <c:v>8.8441669891803659E-2</c:v>
                </c:pt>
                <c:pt idx="6">
                  <c:v>9.3742112436689146E-2</c:v>
                </c:pt>
                <c:pt idx="7">
                  <c:v>8.319170775210756E-2</c:v>
                </c:pt>
                <c:pt idx="8">
                  <c:v>8.7911625637315097E-2</c:v>
                </c:pt>
                <c:pt idx="9">
                  <c:v>9.3489710410742222E-2</c:v>
                </c:pt>
                <c:pt idx="10">
                  <c:v>8.8694071917750583E-2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Q1_Basket_Contribution!$C$14</c15:sqref>
                  <c15:spPr xmlns:c15="http://schemas.microsoft.com/office/drawing/2012/chart">
                    <a:solidFill>
                      <a:schemeClr val="accent1">
                        <a:alpha val="85000"/>
                      </a:schemeClr>
                    </a:solidFill>
                    <a:ln w="9525" cap="flat" cmpd="sng" algn="ctr">
                      <a:solidFill>
                        <a:schemeClr val="lt1">
                          <a:alpha val="50000"/>
                        </a:schemeClr>
                      </a:solidFill>
                      <a:round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9757-4EAF-BE75-1DA75D8639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89374512"/>
        <c:axId val="389374032"/>
      </c:barChart>
      <c:valAx>
        <c:axId val="3893740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74512"/>
        <c:crosses val="autoZero"/>
        <c:crossBetween val="between"/>
      </c:valAx>
      <c:catAx>
        <c:axId val="38937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74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  <a:effectLst/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67-4D8C-B9F7-C29391149E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467-4D8C-B9F7-C29391149E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67-4D8C-B9F7-C29391149E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467-4D8C-B9F7-C29391149E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67-4D8C-B9F7-C29391149E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467-4D8C-B9F7-C29391149E6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467-4D8C-B9F7-C29391149E6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467-4D8C-B9F7-C29391149E6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467-4D8C-B9F7-C29391149E6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467-4D8C-B9F7-C29391149E6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467-4D8C-B9F7-C29391149E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Q1_Basket_Contribution!$A$3:$A$13</c:f>
              <c:strCache>
                <c:ptCount val="11"/>
                <c:pt idx="0">
                  <c:v>Food</c:v>
                </c:pt>
                <c:pt idx="1">
                  <c:v>Pan/Tabacco</c:v>
                </c:pt>
                <c:pt idx="2">
                  <c:v>Clothing</c:v>
                </c:pt>
                <c:pt idx="3">
                  <c:v>Housing</c:v>
                </c:pt>
                <c:pt idx="4">
                  <c:v>Energy</c:v>
                </c:pt>
                <c:pt idx="5">
                  <c:v>Household</c:v>
                </c:pt>
                <c:pt idx="6">
                  <c:v>Health</c:v>
                </c:pt>
                <c:pt idx="7">
                  <c:v>Transport</c:v>
                </c:pt>
                <c:pt idx="8">
                  <c:v>Education/Recreation</c:v>
                </c:pt>
                <c:pt idx="9">
                  <c:v>Personal Care </c:v>
                </c:pt>
                <c:pt idx="10">
                  <c:v>Miscellaneous</c:v>
                </c:pt>
              </c:strCache>
            </c:strRef>
          </c:cat>
          <c:val>
            <c:numRef>
              <c:f>Q1_Basket_Contribution!$C$3:$C$13</c:f>
              <c:numCache>
                <c:formatCode>0.0%</c:formatCode>
                <c:ptCount val="11"/>
                <c:pt idx="0">
                  <c:v>8.9510171801645666E-2</c:v>
                </c:pt>
                <c:pt idx="1">
                  <c:v>0.10146561443066517</c:v>
                </c:pt>
                <c:pt idx="2">
                  <c:v>9.2631543522522675E-2</c:v>
                </c:pt>
                <c:pt idx="3">
                  <c:v>8.864359151256121E-2</c:v>
                </c:pt>
                <c:pt idx="4">
                  <c:v>9.2278180686196976E-2</c:v>
                </c:pt>
                <c:pt idx="5">
                  <c:v>8.8441669891803659E-2</c:v>
                </c:pt>
                <c:pt idx="6">
                  <c:v>9.3742112436689146E-2</c:v>
                </c:pt>
                <c:pt idx="7">
                  <c:v>8.319170775210756E-2</c:v>
                </c:pt>
                <c:pt idx="8">
                  <c:v>8.7911625637315097E-2</c:v>
                </c:pt>
                <c:pt idx="9">
                  <c:v>9.3489710410742222E-2</c:v>
                </c:pt>
                <c:pt idx="10">
                  <c:v>8.8694071917750583E-2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7-4D8C-B9F7-C29391149E6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CPI YoY Inflation Trend 2017-2023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5743602029462342"/>
          <c:y val="1.972612119137280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'Q2_YoY Trend'!$G$1</c:f>
              <c:strCache>
                <c:ptCount val="1"/>
                <c:pt idx="0">
                  <c:v>Avg YoY%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'Q2_YoY Trend'!$F$2:$F$7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'Q2_YoY Trend'!$G$2:$G$7</c:f>
              <c:numCache>
                <c:formatCode>0.00</c:formatCode>
                <c:ptCount val="6"/>
                <c:pt idx="0">
                  <c:v>3.3273885375365366</c:v>
                </c:pt>
                <c:pt idx="1">
                  <c:v>3.9676971910429089</c:v>
                </c:pt>
                <c:pt idx="2">
                  <c:v>3.9729559917622894</c:v>
                </c:pt>
                <c:pt idx="3">
                  <c:v>6.3156967310676686</c:v>
                </c:pt>
                <c:pt idx="4">
                  <c:v>6.6240649804989218</c:v>
                </c:pt>
                <c:pt idx="5">
                  <c:v>5.5756721664536073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A-4A19-9050-A40FB6C5D7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47651104"/>
        <c:axId val="547656864"/>
      </c:barChart>
      <c:catAx>
        <c:axId val="54765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56864"/>
        <c:crosses val="autoZero"/>
        <c:auto val="1"/>
        <c:lblAlgn val="ctr"/>
        <c:lblOffset val="100"/>
        <c:noMultiLvlLbl val="0"/>
      </c:catAx>
      <c:valAx>
        <c:axId val="54765686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YoY%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54765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27559055118109"/>
          <c:y val="0.17374999999999999"/>
          <c:w val="0.7851688538932633"/>
          <c:h val="0.7013192621755614"/>
        </c:manualLayout>
      </c:layout>
      <c:lineChart>
        <c:grouping val="standard"/>
        <c:varyColors val="0"/>
        <c:ser>
          <c:idx val="0"/>
          <c:order val="0"/>
          <c:tx>
            <c:strRef>
              <c:f>' Q3_Food_Analysis'!$AG$1</c:f>
              <c:strCache>
                <c:ptCount val="1"/>
                <c:pt idx="0">
                  <c:v>Food MoM%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 Q3_Food_Analysis'!$AE$2:$AE$13</c:f>
              <c:numCache>
                <c:formatCode>mmm/yyyy</c:formatCode>
                <c:ptCount val="12"/>
                <c:pt idx="0">
                  <c:v>44713</c:v>
                </c:pt>
                <c:pt idx="1">
                  <c:v>44743</c:v>
                </c:pt>
                <c:pt idx="2">
                  <c:v>44774</c:v>
                </c:pt>
                <c:pt idx="3">
                  <c:v>44805</c:v>
                </c:pt>
                <c:pt idx="4">
                  <c:v>44835</c:v>
                </c:pt>
                <c:pt idx="5">
                  <c:v>44866</c:v>
                </c:pt>
                <c:pt idx="6">
                  <c:v>44896</c:v>
                </c:pt>
                <c:pt idx="7">
                  <c:v>44927</c:v>
                </c:pt>
                <c:pt idx="8">
                  <c:v>44958</c:v>
                </c:pt>
                <c:pt idx="9">
                  <c:v>44986</c:v>
                </c:pt>
                <c:pt idx="10">
                  <c:v>45017</c:v>
                </c:pt>
                <c:pt idx="11">
                  <c:v>45047</c:v>
                </c:pt>
              </c:numCache>
            </c:numRef>
          </c:cat>
          <c:val>
            <c:numRef>
              <c:f>' Q3_Food_Analysis'!$AG$2:$AG$13</c:f>
              <c:numCache>
                <c:formatCode>0.00%</c:formatCode>
                <c:ptCount val="12"/>
                <c:pt idx="1">
                  <c:v>0.20603737422137913</c:v>
                </c:pt>
                <c:pt idx="2">
                  <c:v>7.6507435566389753E-2</c:v>
                </c:pt>
                <c:pt idx="3">
                  <c:v>0.487362033541972</c:v>
                </c:pt>
                <c:pt idx="4">
                  <c:v>0.694213304170052</c:v>
                </c:pt>
                <c:pt idx="5">
                  <c:v>3.7776833356925596E-2</c:v>
                </c:pt>
                <c:pt idx="6">
                  <c:v>-0.51923530800093876</c:v>
                </c:pt>
                <c:pt idx="7">
                  <c:v>0.40332147093713466</c:v>
                </c:pt>
                <c:pt idx="8">
                  <c:v>-0.65689981096409811</c:v>
                </c:pt>
                <c:pt idx="9">
                  <c:v>4.7571476142861452E-3</c:v>
                </c:pt>
                <c:pt idx="10">
                  <c:v>0.4519075254495562</c:v>
                </c:pt>
                <c:pt idx="11">
                  <c:v>0.76241890420040825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F-43A3-AEEE-E615E4E765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67092768"/>
        <c:axId val="767094208"/>
      </c:lineChart>
      <c:catAx>
        <c:axId val="76709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/yy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094208"/>
        <c:crosses val="autoZero"/>
        <c:auto val="0"/>
        <c:lblAlgn val="ctr"/>
        <c:lblOffset val="100"/>
        <c:noMultiLvlLbl val="0"/>
      </c:catAx>
      <c:valAx>
        <c:axId val="7670942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Food inflation%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7670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rgbClr val="002060"/>
                </a:solidFill>
                <a:effectLst/>
              </a:rPr>
              <a:t>Impact of COVID-19 on CPI Inflation in India</a:t>
            </a:r>
            <a:endParaRPr lang="en-IN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25381889763779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Q4_COVID_Impact'!$AG$4</c:f>
              <c:strCache>
                <c:ptCount val="1"/>
                <c:pt idx="0">
                  <c:v>Food YoY 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 Q4_COVID_Impact'!$B$5:$B$28</c15:sqref>
                  </c15:fullRef>
                </c:ext>
              </c:extLst>
              <c:f>' Q4_COVID_Impact'!$B$18:$B$28</c:f>
              <c:numCache>
                <c:formatCode>mmm/yyyy</c:formatCode>
                <c:ptCount val="11"/>
                <c:pt idx="0">
                  <c:v>43952</c:v>
                </c:pt>
                <c:pt idx="1">
                  <c:v>43983</c:v>
                </c:pt>
                <c:pt idx="2">
                  <c:v>44013</c:v>
                </c:pt>
                <c:pt idx="3">
                  <c:v>44044</c:v>
                </c:pt>
                <c:pt idx="4">
                  <c:v>44075</c:v>
                </c:pt>
                <c:pt idx="5">
                  <c:v>44105</c:v>
                </c:pt>
                <c:pt idx="6">
                  <c:v>44136</c:v>
                </c:pt>
                <c:pt idx="7">
                  <c:v>44166</c:v>
                </c:pt>
                <c:pt idx="8">
                  <c:v>44197</c:v>
                </c:pt>
                <c:pt idx="9">
                  <c:v>44228</c:v>
                </c:pt>
                <c:pt idx="10">
                  <c:v>44256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Q4_COVID_Impact'!$AG$5:$AG$28</c15:sqref>
                  </c15:fullRef>
                </c:ext>
              </c:extLst>
              <c:f>' Q4_COVID_Impact'!$AG$18:$AG$28</c:f>
              <c:numCache>
                <c:formatCode>General</c:formatCode>
                <c:ptCount val="11"/>
                <c:pt idx="0" formatCode="0.00%">
                  <c:v>9.62507571168989E-2</c:v>
                </c:pt>
                <c:pt idx="1" formatCode="0.00%">
                  <c:v>8.4599736747636989E-2</c:v>
                </c:pt>
                <c:pt idx="2" formatCode="0.00%">
                  <c:v>7.0888468809073846E-2</c:v>
                </c:pt>
                <c:pt idx="3" formatCode="0.00%">
                  <c:v>8.0912619075620196E-2</c:v>
                </c:pt>
                <c:pt idx="4" formatCode="0.00%">
                  <c:v>8.0844098906880379E-2</c:v>
                </c:pt>
                <c:pt idx="5" formatCode="0.00%">
                  <c:v>8.7096774193548443E-2</c:v>
                </c:pt>
                <c:pt idx="6" formatCode="0.00%">
                  <c:v>9.772598067083571E-2</c:v>
                </c:pt>
                <c:pt idx="7" formatCode="0.00%">
                  <c:v>8.5199039696275847E-2</c:v>
                </c:pt>
                <c:pt idx="8" formatCode="0.00%">
                  <c:v>7.1968213106497148E-2</c:v>
                </c:pt>
                <c:pt idx="9" formatCode="0.00%">
                  <c:v>6.887740616660043E-2</c:v>
                </c:pt>
                <c:pt idx="10" formatCode="0.00%">
                  <c:v>7.7984540509590472E-2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4-4DE0-8557-71B10DAAB3B2}"/>
            </c:ext>
          </c:extLst>
        </c:ser>
        <c:ser>
          <c:idx val="1"/>
          <c:order val="1"/>
          <c:tx>
            <c:strRef>
              <c:f>' Q4_COVID_Impact'!$AH$4</c:f>
              <c:strCache>
                <c:ptCount val="1"/>
                <c:pt idx="0">
                  <c:v>Health YoY %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 Q4_COVID_Impact'!$B$5:$B$28</c15:sqref>
                  </c15:fullRef>
                </c:ext>
              </c:extLst>
              <c:f>' Q4_COVID_Impact'!$B$18:$B$28</c:f>
              <c:numCache>
                <c:formatCode>mmm/yyyy</c:formatCode>
                <c:ptCount val="11"/>
                <c:pt idx="0">
                  <c:v>43952</c:v>
                </c:pt>
                <c:pt idx="1">
                  <c:v>43983</c:v>
                </c:pt>
                <c:pt idx="2">
                  <c:v>44013</c:v>
                </c:pt>
                <c:pt idx="3">
                  <c:v>44044</c:v>
                </c:pt>
                <c:pt idx="4">
                  <c:v>44075</c:v>
                </c:pt>
                <c:pt idx="5">
                  <c:v>44105</c:v>
                </c:pt>
                <c:pt idx="6">
                  <c:v>44136</c:v>
                </c:pt>
                <c:pt idx="7">
                  <c:v>44166</c:v>
                </c:pt>
                <c:pt idx="8">
                  <c:v>44197</c:v>
                </c:pt>
                <c:pt idx="9">
                  <c:v>44228</c:v>
                </c:pt>
                <c:pt idx="10">
                  <c:v>44256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Q4_COVID_Impact'!$AH$5:$AH$28</c15:sqref>
                  </c15:fullRef>
                </c:ext>
              </c:extLst>
              <c:f>' Q4_COVID_Impact'!$AH$18:$AH$28</c:f>
              <c:numCache>
                <c:formatCode>General</c:formatCode>
                <c:ptCount val="11"/>
                <c:pt idx="0" formatCode="0.00%">
                  <c:v>3.8461538461538547E-2</c:v>
                </c:pt>
                <c:pt idx="1" formatCode="0.00%">
                  <c:v>4.7489823609226489E-2</c:v>
                </c:pt>
                <c:pt idx="2" formatCode="0.00%">
                  <c:v>4.3948613928330049E-2</c:v>
                </c:pt>
                <c:pt idx="3" formatCode="0.00%">
                  <c:v>4.3771043771043683E-2</c:v>
                </c:pt>
                <c:pt idx="4" formatCode="0.00%">
                  <c:v>4.4295302013422688E-2</c:v>
                </c:pt>
                <c:pt idx="5" formatCode="0.00%">
                  <c:v>4.6184738955823423E-2</c:v>
                </c:pt>
                <c:pt idx="6" formatCode="0.00%">
                  <c:v>4.8699132755170016E-2</c:v>
                </c:pt>
                <c:pt idx="7" formatCode="0.00%">
                  <c:v>5.2526595744680993E-2</c:v>
                </c:pt>
                <c:pt idx="8" formatCode="0.00%">
                  <c:v>5.3571428571428825E-2</c:v>
                </c:pt>
                <c:pt idx="9" formatCode="0.00%">
                  <c:v>6.3282794990112246E-2</c:v>
                </c:pt>
                <c:pt idx="10" formatCode="0.00%">
                  <c:v>6.1720288903479803E-2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4-4DE0-8557-71B10DAAB3B2}"/>
            </c:ext>
          </c:extLst>
        </c:ser>
        <c:ser>
          <c:idx val="2"/>
          <c:order val="2"/>
          <c:tx>
            <c:strRef>
              <c:f>' Q4_COVID_Impact'!$AJ$4</c:f>
              <c:strCache>
                <c:ptCount val="1"/>
                <c:pt idx="0">
                  <c:v>Ess YoY %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 Q4_COVID_Impact'!$B$5:$B$28</c15:sqref>
                  </c15:fullRef>
                </c:ext>
              </c:extLst>
              <c:f>' Q4_COVID_Impact'!$B$18:$B$28</c:f>
              <c:numCache>
                <c:formatCode>mmm/yyyy</c:formatCode>
                <c:ptCount val="11"/>
                <c:pt idx="0">
                  <c:v>43952</c:v>
                </c:pt>
                <c:pt idx="1">
                  <c:v>43983</c:v>
                </c:pt>
                <c:pt idx="2">
                  <c:v>44013</c:v>
                </c:pt>
                <c:pt idx="3">
                  <c:v>44044</c:v>
                </c:pt>
                <c:pt idx="4">
                  <c:v>44075</c:v>
                </c:pt>
                <c:pt idx="5">
                  <c:v>44105</c:v>
                </c:pt>
                <c:pt idx="6">
                  <c:v>44136</c:v>
                </c:pt>
                <c:pt idx="7">
                  <c:v>44166</c:v>
                </c:pt>
                <c:pt idx="8">
                  <c:v>44197</c:v>
                </c:pt>
                <c:pt idx="9">
                  <c:v>44228</c:v>
                </c:pt>
                <c:pt idx="10">
                  <c:v>44256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Q4_COVID_Impact'!$AJ$5:$AJ$28</c15:sqref>
                  </c15:fullRef>
                </c:ext>
              </c:extLst>
              <c:f>' Q4_COVID_Impact'!$AJ$18:$AJ$28</c:f>
              <c:numCache>
                <c:formatCode>General</c:formatCode>
                <c:ptCount val="11"/>
                <c:pt idx="0" formatCode="0.00%">
                  <c:v>-1.2669891730015981E-2</c:v>
                </c:pt>
                <c:pt idx="1" formatCode="0.00%">
                  <c:v>1.9797421731123199E-2</c:v>
                </c:pt>
                <c:pt idx="2" formatCode="0.00%">
                  <c:v>2.0502188435844282E-2</c:v>
                </c:pt>
                <c:pt idx="3" formatCode="0.00%">
                  <c:v>2.8301886792452713E-2</c:v>
                </c:pt>
                <c:pt idx="4" formatCode="0.00%">
                  <c:v>2.729357798165144E-2</c:v>
                </c:pt>
                <c:pt idx="5" formatCode="0.00%">
                  <c:v>2.2115823073415308E-2</c:v>
                </c:pt>
                <c:pt idx="6" formatCode="0.00%">
                  <c:v>2.1990478349580789E-2</c:v>
                </c:pt>
                <c:pt idx="7" formatCode="0.00%">
                  <c:v>2.3513452407867952E-2</c:v>
                </c:pt>
                <c:pt idx="8" formatCode="0.00%">
                  <c:v>2.4510906228918605E-2</c:v>
                </c:pt>
                <c:pt idx="9" formatCode="0.00%">
                  <c:v>3.2783229259589763E-2</c:v>
                </c:pt>
                <c:pt idx="10" formatCode="0.00%">
                  <c:v>3.734993330369063E-2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F4-4DE0-8557-71B10DAAB3B2}"/>
            </c:ext>
          </c:extLst>
        </c:ser>
        <c:ser>
          <c:idx val="3"/>
          <c:order val="3"/>
          <c:tx>
            <c:strRef>
              <c:f>' Q4_COVID_Impact'!$AK$4</c:f>
              <c:strCache>
                <c:ptCount val="1"/>
                <c:pt idx="0">
                  <c:v>General YoY %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 Q4_COVID_Impact'!$B$5:$B$28</c15:sqref>
                  </c15:fullRef>
                </c:ext>
              </c:extLst>
              <c:f>' Q4_COVID_Impact'!$B$18:$B$28</c:f>
              <c:numCache>
                <c:formatCode>mmm/yyyy</c:formatCode>
                <c:ptCount val="11"/>
                <c:pt idx="0">
                  <c:v>43952</c:v>
                </c:pt>
                <c:pt idx="1">
                  <c:v>43983</c:v>
                </c:pt>
                <c:pt idx="2">
                  <c:v>44013</c:v>
                </c:pt>
                <c:pt idx="3">
                  <c:v>44044</c:v>
                </c:pt>
                <c:pt idx="4">
                  <c:v>44075</c:v>
                </c:pt>
                <c:pt idx="5">
                  <c:v>44105</c:v>
                </c:pt>
                <c:pt idx="6">
                  <c:v>44136</c:v>
                </c:pt>
                <c:pt idx="7">
                  <c:v>44166</c:v>
                </c:pt>
                <c:pt idx="8">
                  <c:v>44197</c:v>
                </c:pt>
                <c:pt idx="9">
                  <c:v>44228</c:v>
                </c:pt>
                <c:pt idx="10">
                  <c:v>44256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Q4_COVID_Impact'!$AK$5:$AK$28</c15:sqref>
                  </c15:fullRef>
                </c:ext>
              </c:extLst>
              <c:f>' Q4_COVID_Impact'!$AK$18:$AK$28</c:f>
              <c:numCache>
                <c:formatCode>General</c:formatCode>
                <c:ptCount val="11"/>
                <c:pt idx="0" formatCode="0.00%">
                  <c:v>6.3380281690140761E-2</c:v>
                </c:pt>
                <c:pt idx="1" formatCode="0.00%">
                  <c:v>6.2281315605318355E-2</c:v>
                </c:pt>
                <c:pt idx="2" formatCode="0.00%">
                  <c:v>5.2704576976421835E-2</c:v>
                </c:pt>
                <c:pt idx="3" formatCode="0.00%">
                  <c:v>6.1379310344827687E-2</c:v>
                </c:pt>
                <c:pt idx="4" formatCode="0.00%">
                  <c:v>6.104252400548682E-2</c:v>
                </c:pt>
                <c:pt idx="5" formatCode="0.00%">
                  <c:v>6.2500000000000222E-2</c:v>
                </c:pt>
                <c:pt idx="6" formatCode="0.00%">
                  <c:v>6.5948855989232946E-2</c:v>
                </c:pt>
                <c:pt idx="7" formatCode="0.00%">
                  <c:v>5.6515957446808596E-2</c:v>
                </c:pt>
                <c:pt idx="8" formatCode="0.00%">
                  <c:v>4.7270306258322403E-2</c:v>
                </c:pt>
                <c:pt idx="9" formatCode="0.00%">
                  <c:v>5.0301810865191143E-2</c:v>
                </c:pt>
                <c:pt idx="10" formatCode="0.00%">
                  <c:v>5.5181695827725585E-2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F4-4DE0-8557-71B10DAAB3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44258799"/>
        <c:axId val="1244256879"/>
      </c:lineChart>
      <c:dateAx>
        <c:axId val="1244258799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256879"/>
        <c:crosses val="autoZero"/>
        <c:auto val="1"/>
        <c:lblOffset val="100"/>
        <c:baseTimeUnit val="months"/>
      </c:dateAx>
      <c:valAx>
        <c:axId val="12442568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25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Oil Impact: Category Correlation With Fuel MoM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949256342957"/>
          <c:y val="0.19721055701370663"/>
          <c:w val="0.88890507436570432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Q5_Oil_linkage'!$G$35</c:f>
              <c:strCache>
                <c:ptCount val="1"/>
                <c:pt idx="0">
                  <c:v>Corr_fuel_MoM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F758-4C29-834D-FDD05F377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Q5_Oil_linkage'!$F$36:$F$40</c:f>
              <c:strCache>
                <c:ptCount val="5"/>
                <c:pt idx="0">
                  <c:v>Food MoM</c:v>
                </c:pt>
                <c:pt idx="1">
                  <c:v>General MoM</c:v>
                </c:pt>
                <c:pt idx="2">
                  <c:v>Health MoM</c:v>
                </c:pt>
                <c:pt idx="3">
                  <c:v>Clothing MoM</c:v>
                </c:pt>
                <c:pt idx="4">
                  <c:v>Transport MoM</c:v>
                </c:pt>
              </c:strCache>
            </c:strRef>
          </c:cat>
          <c:val>
            <c:numRef>
              <c:f>' Q5_Oil_linkage'!$G$36:$G$40</c:f>
              <c:numCache>
                <c:formatCode>0.00</c:formatCode>
                <c:ptCount val="5"/>
                <c:pt idx="0">
                  <c:v>-4.1228945436173121E-2</c:v>
                </c:pt>
                <c:pt idx="1">
                  <c:v>0.26303060954621443</c:v>
                </c:pt>
                <c:pt idx="2">
                  <c:v>0.46822538991991924</c:v>
                </c:pt>
                <c:pt idx="3">
                  <c:v>0.53195367884287248</c:v>
                </c:pt>
                <c:pt idx="4">
                  <c:v>0.60416476808462904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A-42C6-963E-23CC5FC0C21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77111472"/>
        <c:axId val="477113392"/>
      </c:barChart>
      <c:catAx>
        <c:axId val="47711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13392"/>
        <c:crosses val="autoZero"/>
        <c:auto val="1"/>
        <c:lblAlgn val="ctr"/>
        <c:lblOffset val="100"/>
        <c:noMultiLvlLbl val="0"/>
      </c:catAx>
      <c:valAx>
        <c:axId val="47711339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Corr_fuel_MoM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47711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14</xdr:row>
      <xdr:rowOff>182561</xdr:rowOff>
    </xdr:from>
    <xdr:to>
      <xdr:col>5</xdr:col>
      <xdr:colOff>603250</xdr:colOff>
      <xdr:row>29</xdr:row>
      <xdr:rowOff>31749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112F7B-B5D5-4260-8D3F-F4EA37B57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7055</xdr:rowOff>
    </xdr:from>
    <xdr:to>
      <xdr:col>6</xdr:col>
      <xdr:colOff>7937</xdr:colOff>
      <xdr:row>45</xdr:row>
      <xdr:rowOff>181680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5602EB-6624-4AB2-8DC1-D394E78BC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6</xdr:col>
      <xdr:colOff>39687</xdr:colOff>
      <xdr:row>63</xdr:row>
      <xdr:rowOff>15875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2F1DD1-FB10-4A0E-A25A-3A21D9F5E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7056</xdr:colOff>
      <xdr:row>86</xdr:row>
      <xdr:rowOff>14111</xdr:rowOff>
    </xdr:from>
    <xdr:to>
      <xdr:col>6</xdr:col>
      <xdr:colOff>7056</xdr:colOff>
      <xdr:row>101</xdr:row>
      <xdr:rowOff>169333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83E7D3-0651-46D8-ACEE-514FD039B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7938</xdr:colOff>
      <xdr:row>15</xdr:row>
      <xdr:rowOff>1</xdr:rowOff>
    </xdr:from>
    <xdr:to>
      <xdr:col>10</xdr:col>
      <xdr:colOff>23813</xdr:colOff>
      <xdr:row>27</xdr:row>
      <xdr:rowOff>174626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69BABB-8BC5-A411-6B8A-9BEE8BBC1404}"/>
            </a:ext>
          </a:extLst>
        </xdr:cNvPr>
        <xdr:cNvSpPr txBox="1"/>
      </xdr:nvSpPr>
      <xdr:spPr>
        <a:xfrm>
          <a:off x="7064376" y="2254251"/>
          <a:ext cx="4135437" cy="23653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§"/>
          </a:pPr>
          <a:r>
            <a:rPr lang="en-IN" sz="1200">
              <a:solidFill>
                <a:srgbClr val="002060"/>
              </a:solidFill>
            </a:rPr>
            <a:t>Q1. Broad Category Contribution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>
            <a:solidFill>
              <a:srgbClr val="002060"/>
            </a:solidFill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§"/>
            <a:tabLst/>
            <a:defRPr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Equal-weight broad buckets were created from similar CPI categories.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§"/>
            <a:tabLst/>
            <a:defRPr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The bucket share shows which category contributes most in the latest month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§"/>
            <a:tabLst/>
            <a:defRPr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This is a case-study contribution method, not official CPI weighting.</a:t>
          </a:r>
        </a:p>
        <a:p>
          <a:endParaRPr lang="en-IN" sz="1100"/>
        </a:p>
      </xdr:txBody>
    </xdr:sp>
    <xdr:clientData/>
  </xdr:twoCellAnchor>
  <xdr:oneCellAnchor>
    <xdr:from>
      <xdr:col>5</xdr:col>
      <xdr:colOff>317500</xdr:colOff>
      <xdr:row>31</xdr:row>
      <xdr:rowOff>119063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E8418EC-640F-19BC-E3A2-914B2755889C}"/>
            </a:ext>
          </a:extLst>
        </xdr:cNvPr>
        <xdr:cNvSpPr txBox="1"/>
      </xdr:nvSpPr>
      <xdr:spPr>
        <a:xfrm>
          <a:off x="6762750" y="52943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23812</xdr:colOff>
      <xdr:row>30</xdr:row>
      <xdr:rowOff>-1</xdr:rowOff>
    </xdr:from>
    <xdr:ext cx="4095749" cy="273843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115958-067C-CCA5-BB0C-5656951D6231}"/>
            </a:ext>
          </a:extLst>
        </xdr:cNvPr>
        <xdr:cNvSpPr txBox="1"/>
      </xdr:nvSpPr>
      <xdr:spPr>
        <a:xfrm>
          <a:off x="7080250" y="4992687"/>
          <a:ext cx="4095749" cy="273843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Q2. YoY CPI Trend Since 2017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YoY inflation compares the same month in two different years.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This reduces seasonal noise and shows the long-term inflation trend.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The year with the highest average inflation is highlighted in the chart.</a:t>
          </a:r>
        </a:p>
        <a:p>
          <a:endParaRPr lang="en-IN" sz="1100"/>
        </a:p>
      </xdr:txBody>
    </xdr:sp>
    <xdr:clientData/>
  </xdr:oneCellAnchor>
  <xdr:oneCellAnchor>
    <xdr:from>
      <xdr:col>6</xdr:col>
      <xdr:colOff>71437</xdr:colOff>
      <xdr:row>47</xdr:row>
      <xdr:rowOff>7937</xdr:rowOff>
    </xdr:from>
    <xdr:ext cx="4127499" cy="273843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20C5FE3-97E0-C296-DB47-8CA9FCCDDBE7}"/>
            </a:ext>
          </a:extLst>
        </xdr:cNvPr>
        <xdr:cNvSpPr txBox="1"/>
      </xdr:nvSpPr>
      <xdr:spPr>
        <a:xfrm>
          <a:off x="7127875" y="8104187"/>
          <a:ext cx="4127499" cy="273843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Q3. Food Inflation for 12 Months Ending May 2023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Food inflation is measured using the broad food basket.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Month-on-month change helps find the highest and lowest food pressure months.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The food subcategory with the largest absolute increase is the biggest contributor.</a:t>
          </a:r>
        </a:p>
        <a:p>
          <a:endParaRPr lang="en-IN" sz="1100"/>
        </a:p>
      </xdr:txBody>
    </xdr:sp>
    <xdr:clientData/>
  </xdr:oneCellAnchor>
  <xdr:oneCellAnchor>
    <xdr:from>
      <xdr:col>6</xdr:col>
      <xdr:colOff>35277</xdr:colOff>
      <xdr:row>86</xdr:row>
      <xdr:rowOff>28222</xdr:rowOff>
    </xdr:from>
    <xdr:ext cx="4099278" cy="274461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5FCA3EE-F089-00A6-9486-A914DF60337A}"/>
            </a:ext>
          </a:extLst>
        </xdr:cNvPr>
        <xdr:cNvSpPr txBox="1"/>
      </xdr:nvSpPr>
      <xdr:spPr>
        <a:xfrm>
          <a:off x="7076721" y="15536333"/>
          <a:ext cx="4099278" cy="274461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Q5. Oil Price Proxy and CPI Linkage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Fuel and Light month-on-month movement is used as a proxy for oil price change.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Correlation is used to identify which category moves most closely with fuel.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Correlation shows co-movement, not direct causation.</a:t>
          </a:r>
        </a:p>
        <a:p>
          <a:endParaRPr lang="en-IN" sz="1100"/>
        </a:p>
      </xdr:txBody>
    </xdr:sp>
    <xdr:clientData/>
  </xdr:oneCellAnchor>
  <xdr:oneCellAnchor>
    <xdr:from>
      <xdr:col>6</xdr:col>
      <xdr:colOff>14112</xdr:colOff>
      <xdr:row>63</xdr:row>
      <xdr:rowOff>169333</xdr:rowOff>
    </xdr:from>
    <xdr:ext cx="4092222" cy="275872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8BDB408-6E4C-68FF-F288-D04AB83884CE}"/>
            </a:ext>
          </a:extLst>
        </xdr:cNvPr>
        <xdr:cNvSpPr txBox="1"/>
      </xdr:nvSpPr>
      <xdr:spPr>
        <a:xfrm>
          <a:off x="7055556" y="11225389"/>
          <a:ext cx="4092222" cy="275872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Q4. COVID Impact on Inflation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March 2020 is treated as the pandemic onset benchmark.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Pre-COVID and post-COVID inflation averages are compared.</a:t>
          </a:r>
        </a:p>
        <a:p>
          <a:pPr marL="171450" indent="-171450">
            <a:buFont typeface="Wingdings" panose="05000000000000000000" pitchFamily="2" charset="2"/>
            <a:buChar char="§"/>
          </a:pPr>
          <a:endParaRPr lang="en-IN" sz="1200" b="0" i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Food, health, and essential services show the clearest impact.</a:t>
          </a:r>
        </a:p>
        <a:p>
          <a:endParaRPr lang="en-IN" sz="1100"/>
        </a:p>
      </xdr:txBody>
    </xdr:sp>
    <xdr:clientData/>
  </xdr:oneCellAnchor>
  <xdr:twoCellAnchor>
    <xdr:from>
      <xdr:col>1</xdr:col>
      <xdr:colOff>388056</xdr:colOff>
      <xdr:row>0</xdr:row>
      <xdr:rowOff>21167</xdr:rowOff>
    </xdr:from>
    <xdr:to>
      <xdr:col>8</xdr:col>
      <xdr:colOff>465668</xdr:colOff>
      <xdr:row>3</xdr:row>
      <xdr:rowOff>134056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F56ABE0-70C8-B7E4-B2FD-84F19A31FA7F}"/>
            </a:ext>
          </a:extLst>
        </xdr:cNvPr>
        <xdr:cNvSpPr txBox="1"/>
      </xdr:nvSpPr>
      <xdr:spPr>
        <a:xfrm>
          <a:off x="994834" y="21167"/>
          <a:ext cx="9405056" cy="6632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India CPI Inflation Case Study Dashboard</a:t>
          </a:r>
        </a:p>
        <a:p>
          <a:pPr algn="ctr"/>
          <a:r>
            <a:rPr lang="en-IN" sz="1200" b="1">
              <a:solidFill>
                <a:schemeClr val="accent1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Summary of Basket Contribution, Inflation Trend, COVID Impact,  and Oil Linkage</a:t>
          </a:r>
        </a:p>
      </xdr:txBody>
    </xdr:sp>
    <xdr:clientData/>
  </xdr:twoCellAnchor>
  <xdr:twoCellAnchor>
    <xdr:from>
      <xdr:col>1</xdr:col>
      <xdr:colOff>0</xdr:colOff>
      <xdr:row>63</xdr:row>
      <xdr:rowOff>183442</xdr:rowOff>
    </xdr:from>
    <xdr:to>
      <xdr:col>6</xdr:col>
      <xdr:colOff>7056</xdr:colOff>
      <xdr:row>82</xdr:row>
      <xdr:rowOff>7055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1590348-1990-4CD6-9028-E9F6ED07A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14111</xdr:colOff>
      <xdr:row>82</xdr:row>
      <xdr:rowOff>21167</xdr:rowOff>
    </xdr:from>
    <xdr:to>
      <xdr:col>6</xdr:col>
      <xdr:colOff>14112</xdr:colOff>
      <xdr:row>84</xdr:row>
      <xdr:rowOff>141112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2FC2C4C-EA44-7D3B-7406-57A36FADE854}"/>
            </a:ext>
          </a:extLst>
        </xdr:cNvPr>
        <xdr:cNvSpPr txBox="1"/>
      </xdr:nvSpPr>
      <xdr:spPr>
        <a:xfrm>
          <a:off x="620889" y="14795500"/>
          <a:ext cx="6434667" cy="4868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Note</a:t>
          </a:r>
          <a:r>
            <a:rPr lang="en-IN" sz="1200" b="0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:March 2020 is treated as the COVID onset point. Values are YoY inflation rates. Essential services include housing, fuel and light, and household-related categories.</a:t>
          </a:r>
          <a:endParaRPr lang="en-IN" sz="1200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0</xdr:colOff>
      <xdr:row>11</xdr:row>
      <xdr:rowOff>42333</xdr:rowOff>
    </xdr:from>
    <xdr:to>
      <xdr:col>8</xdr:col>
      <xdr:colOff>28222</xdr:colOff>
      <xdr:row>14</xdr:row>
      <xdr:rowOff>162278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232C72-430E-5FCC-11E2-32C52F6913A1}"/>
            </a:ext>
          </a:extLst>
        </xdr:cNvPr>
        <xdr:cNvSpPr txBox="1"/>
      </xdr:nvSpPr>
      <xdr:spPr>
        <a:xfrm>
          <a:off x="606778" y="2335389"/>
          <a:ext cx="9355666" cy="677333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q"/>
          </a:pPr>
          <a:r>
            <a:rPr lang="en-IN" sz="1200" b="1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Food and tobacco categories drive the largest share in the latest month.</a:t>
          </a:r>
        </a:p>
        <a:p>
          <a:pPr marL="171450" indent="-171450">
            <a:buFont typeface="Wingdings" panose="05000000000000000000" pitchFamily="2" charset="2"/>
            <a:buChar char="q"/>
          </a:pPr>
          <a:r>
            <a:rPr lang="en-IN" sz="1200" b="1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2022 shows the peak inflation year in the series.</a:t>
          </a:r>
        </a:p>
        <a:p>
          <a:pPr marL="171450" indent="-171450">
            <a:buFont typeface="Wingdings" panose="05000000000000000000" pitchFamily="2" charset="2"/>
            <a:buChar char="q"/>
          </a:pPr>
          <a:r>
            <a:rPr lang="en-IN" sz="1200" b="1" i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Transport shows the strongest oil-price linkage among selected categories.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409574</xdr:colOff>
      <xdr:row>5</xdr:row>
      <xdr:rowOff>82550</xdr:rowOff>
    </xdr:from>
    <xdr:to>
      <xdr:col>12</xdr:col>
      <xdr:colOff>349249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807E1-C5BA-D6A0-2522-B4554F6C1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231775</xdr:colOff>
      <xdr:row>14</xdr:row>
      <xdr:rowOff>0</xdr:rowOff>
    </xdr:from>
    <xdr:to>
      <xdr:col>4</xdr:col>
      <xdr:colOff>219075</xdr:colOff>
      <xdr:row>28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9C10A7-4369-22AD-A63F-CD850234F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22224</xdr:colOff>
      <xdr:row>3</xdr:row>
      <xdr:rowOff>82550</xdr:rowOff>
    </xdr:from>
    <xdr:to>
      <xdr:col>16</xdr:col>
      <xdr:colOff>552450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60AB05-32F0-57B0-5450-D08B07743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367392</xdr:colOff>
      <xdr:row>13</xdr:row>
      <xdr:rowOff>144235</xdr:rowOff>
    </xdr:from>
    <xdr:to>
      <xdr:col>22</xdr:col>
      <xdr:colOff>435303</xdr:colOff>
      <xdr:row>26</xdr:row>
      <xdr:rowOff>154810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783EF-6EBB-31BF-CB3D-5D0FC11C8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15875</xdr:colOff>
      <xdr:row>28</xdr:row>
      <xdr:rowOff>55563</xdr:rowOff>
    </xdr:from>
    <xdr:to>
      <xdr:col>30</xdr:col>
      <xdr:colOff>500062</xdr:colOff>
      <xdr:row>51</xdr:row>
      <xdr:rowOff>134937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CAB0F4-C412-96D5-1DA5-F5350083E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44660</xdr:colOff>
      <xdr:row>51</xdr:row>
      <xdr:rowOff>181988</xdr:rowOff>
    </xdr:from>
    <xdr:to>
      <xdr:col>28</xdr:col>
      <xdr:colOff>690564</xdr:colOff>
      <xdr:row>55</xdr:row>
      <xdr:rowOff>98884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9A7436-5F2F-9EB3-8D28-8C42B9C4EE5E}"/>
            </a:ext>
          </a:extLst>
        </xdr:cNvPr>
        <xdr:cNvSpPr txBox="1"/>
      </xdr:nvSpPr>
      <xdr:spPr>
        <a:xfrm>
          <a:off x="16911848" y="9619676"/>
          <a:ext cx="4590841" cy="6471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March 2020 is treated as the COVID onset. Values are YoY inflation rates. Essential services include housing, fuel and light, and household-related categories.</a:t>
          </a:r>
          <a:endParaRPr lang="en-IN" sz="12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367393</xdr:colOff>
      <xdr:row>33</xdr:row>
      <xdr:rowOff>98274</xdr:rowOff>
    </xdr:from>
    <xdr:to>
      <xdr:col>15</xdr:col>
      <xdr:colOff>476250</xdr:colOff>
      <xdr:row>51</xdr:row>
      <xdr:rowOff>98274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151B2-5FE5-1E3D-60BC-E90868061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23780-059F-4875-AA67-298A2E864FB8}" name="Table1" displayName="Table1" ref="A1:AD373" totalsRowShown="0">
  <autoFilter ref="A1:AD373" xr:uid="{84D23780-059F-4875-AA67-298A2E864FB8}"/>
  <tableColumns count="30">
    <tableColumn id="1" xr3:uid="{4C0D290D-F24F-4B08-AB46-D7A2C418C0AA}" name="Sector"/>
    <tableColumn id="2" xr3:uid="{7A52A05F-65D5-47A2-A766-EA364ED5A310}" name="Year"/>
    <tableColumn id="3" xr3:uid="{CEEC557D-F689-474A-97B0-DE8C433F7207}" name="Month"/>
    <tableColumn id="4" xr3:uid="{79248AE9-A590-453C-984E-1D01FAB08FFF}" name="Cereals and products"/>
    <tableColumn id="5" xr3:uid="{C164144B-7D74-4946-8935-4E6089AF8012}" name="Meat and fish"/>
    <tableColumn id="6" xr3:uid="{78433A0E-630A-4BFD-8595-1AEE98B19B8A}" name="Egg"/>
    <tableColumn id="7" xr3:uid="{A811F3C8-70CE-4204-82E3-2E64245FC8F5}" name="Milk and products"/>
    <tableColumn id="8" xr3:uid="{34B0F7DD-3E7B-44EB-9E94-461E7F6D716B}" name="Oils and fats"/>
    <tableColumn id="9" xr3:uid="{7D6C25E1-4AC2-42CC-BA9F-E2032F169E58}" name="Fruits"/>
    <tableColumn id="10" xr3:uid="{013BABF3-2C95-4B92-B92E-1C701EF0E3A7}" name="Vegetables"/>
    <tableColumn id="11" xr3:uid="{AD427202-89C3-4ABE-A417-B48D1BD3FD29}" name="Pulses and products"/>
    <tableColumn id="12" xr3:uid="{455779A6-EBF8-4311-B538-9E75E0DB4CB4}" name="Sugar and Confectionery"/>
    <tableColumn id="13" xr3:uid="{2C58EFAD-6CCC-4C65-BDD3-D0BEEDF4902A}" name="Spices"/>
    <tableColumn id="14" xr3:uid="{DDB536A2-152D-4C50-8E0F-C126EC548468}" name="Non-alcoholic beverages"/>
    <tableColumn id="15" xr3:uid="{086B2794-E703-4182-B675-5A7BE8F33DD1}" name="Prepared meals, snacks, sweets etc."/>
    <tableColumn id="16" xr3:uid="{C4EFA418-1DC7-4BA7-BB40-7B7A8C6E41D8}" name="Food and beverages"/>
    <tableColumn id="17" xr3:uid="{588FAC01-3E1B-4203-A9CC-B8906BF87C17}" name="Pan, tobacco and intoxicants"/>
    <tableColumn id="18" xr3:uid="{66F65F4F-BE29-49ED-AB2D-E9322535902C}" name="Clothing"/>
    <tableColumn id="19" xr3:uid="{92FE30BF-509D-4D4F-8C08-67940D06C211}" name="Footwear"/>
    <tableColumn id="20" xr3:uid="{C2C4A67C-DC59-4971-B02D-FCBC54675528}" name="Clothing and footwear"/>
    <tableColumn id="21" xr3:uid="{7351CDFF-B2A4-4D47-B53B-CC42F0FC0F79}" name="Housing"/>
    <tableColumn id="22" xr3:uid="{E8A8BF99-332D-4074-95C8-690576B3D014}" name="Fuel and light"/>
    <tableColumn id="23" xr3:uid="{0BDB95F3-0D36-404C-841A-C4762A9416E2}" name="Household goods and services"/>
    <tableColumn id="24" xr3:uid="{318CCB73-4F47-451F-B8C7-653A5C46D279}" name="Health"/>
    <tableColumn id="25" xr3:uid="{CCDBC780-9372-4336-8AA9-B5B0B93E33A9}" name="Transport and communication"/>
    <tableColumn id="26" xr3:uid="{D9B15DD0-8219-4D54-8237-7F9616311F0D}" name="Recreation and amusement"/>
    <tableColumn id="27" xr3:uid="{E5CB2987-EE5A-4B2D-88D4-B44866235149}" name="Education"/>
    <tableColumn id="28" xr3:uid="{47DCB628-37EB-4DE1-A1EA-D639DC0BFFC6}" name="Personal care and effects"/>
    <tableColumn id="29" xr3:uid="{7A91EB2F-B8EE-4F58-8DCA-1FDEC5F5C6EC}" name="Miscellaneous"/>
    <tableColumn id="30" xr3:uid="{DFED6787-7882-4475-B824-74D6DBCB0E12}" name="General ind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64D224-A058-4D55-B106-5AF693C6C92D}" name="Table2" displayName="Table2" ref="A1:AF373" totalsRowShown="0">
  <autoFilter ref="A1:AF373" xr:uid="{0964D224-A058-4D55-B106-5AF693C6C92D}">
    <filterColumn colId="0">
      <filters>
        <filter val="Rural+Urban"/>
      </filters>
    </filterColumn>
    <filterColumn colId="1">
      <filters>
        <filter val="2021"/>
        <filter val="2022"/>
        <filter val="2023"/>
      </filters>
    </filterColumn>
  </autoFilter>
  <tableColumns count="32">
    <tableColumn id="1" xr3:uid="{9B349ED9-7823-4A7B-B1BD-E71D57651386}" name="Sector"/>
    <tableColumn id="2" xr3:uid="{D4D57309-4032-406B-9A0F-CEC4A17321E5}" name="Year"/>
    <tableColumn id="3" xr3:uid="{94FD0849-9CAB-447E-B079-385592F9BA24}" name="Month"/>
    <tableColumn id="4" xr3:uid="{245BCF25-F59E-403D-8ACF-A1D431F37F04}" name="Cereals and products"/>
    <tableColumn id="5" xr3:uid="{C7089F37-F7E7-4A69-BF08-DB86CBFC205B}" name="Meat and fish"/>
    <tableColumn id="6" xr3:uid="{32027FC5-73B1-4856-8C26-4E6A39D43848}" name="Egg"/>
    <tableColumn id="7" xr3:uid="{2E8B7A5B-4789-4C8B-BF25-2FF60C21F8A7}" name="Milk and products"/>
    <tableColumn id="8" xr3:uid="{77A0934B-3161-4849-9955-D1D6E9A9F04A}" name="Oils and fats"/>
    <tableColumn id="9" xr3:uid="{2F77D198-D44C-4680-A2ED-DBB9CAFB2268}" name="Fruits"/>
    <tableColumn id="10" xr3:uid="{3EC3BEFA-721A-464D-A596-717DD29B5CA6}" name="Vegetables"/>
    <tableColumn id="11" xr3:uid="{6A004CEF-996C-4F0B-B51D-E8C6F6EB2C11}" name="Pulses and products"/>
    <tableColumn id="12" xr3:uid="{62EC6937-B654-4C4F-A49F-2EEA48F85846}" name="Sugar and Confectionery"/>
    <tableColumn id="13" xr3:uid="{6472813F-D2FD-464E-B3D1-F1103AEC0B85}" name="Spices"/>
    <tableColumn id="14" xr3:uid="{85AAE6B2-ECB3-44B3-A1C7-17F3FDB387BB}" name="Non-alcoholic beverages"/>
    <tableColumn id="15" xr3:uid="{30ABEB8E-F60F-4978-968A-C24A84B3A16A}" name="Prepared meals, snacks, sweets etc."/>
    <tableColumn id="16" xr3:uid="{8FBEBC33-064B-41C3-ACEF-A1B1E945871F}" name="Food and beverages"/>
    <tableColumn id="17" xr3:uid="{845B278C-26C0-4F2E-B22F-DA2528700743}" name="Pan, tobacco and intoxicants"/>
    <tableColumn id="18" xr3:uid="{791ECA2A-1F1B-4546-BC84-0E803F7B412F}" name="Clothing"/>
    <tableColumn id="19" xr3:uid="{4863FCD6-AFBA-49AA-A9DD-028768F8E9F3}" name="Footwear"/>
    <tableColumn id="20" xr3:uid="{6664C0B6-2F7E-4D67-A9AB-8AB064078B58}" name="Clothing and footwear"/>
    <tableColumn id="21" xr3:uid="{9E37A144-BF9A-40FA-9711-1A3C65FF4DE7}" name="Housing"/>
    <tableColumn id="22" xr3:uid="{11C1FBDB-A4BA-4284-9351-6B19A32EA198}" name="Fuel and light"/>
    <tableColumn id="23" xr3:uid="{FDBB0FAA-D2D6-425A-B4E6-191E614300CE}" name="Household goods and services"/>
    <tableColumn id="24" xr3:uid="{A2C47754-C24F-4BF1-95F6-14B38C82BDF6}" name="Health"/>
    <tableColumn id="25" xr3:uid="{EAAA87A9-B414-43F7-96B3-63F23EA3B5F7}" name="Transport and communication"/>
    <tableColumn id="26" xr3:uid="{E0A9A8E4-7A56-4EA4-88A0-D4328F6C98A2}" name="Recreation and amusement"/>
    <tableColumn id="27" xr3:uid="{80E8A242-82B5-4BE6-9D57-D3C884BFEC39}" name="Education"/>
    <tableColumn id="28" xr3:uid="{D9EF6673-DB91-412F-80D4-E937F89D262D}" name="Personal care and effects"/>
    <tableColumn id="29" xr3:uid="{DDF83CB0-148D-493F-B698-6FFF35D1C448}" name="Miscellaneous"/>
    <tableColumn id="30" xr3:uid="{C2A87F48-452F-4AB6-85E5-875AF8F61C12}" name="General index"/>
    <tableColumn id="31" xr3:uid="{A2D93D4B-9AB2-4B1A-A59A-52C74F5FDE75}" name="Month NO." dataDxfId="5">
      <calculatedColumnFormula>IF(C2="January",1,IF(C2="February",2,IF(C2="March",3,IF(C2="April",4,IF(C2="May",5,IF(C2="June",6,IF(C2="July",7,IF(C2="August",8,IF(C2="September",9,IF(C2="October",10,IF(C2="November",11,IF(C2="December",12,""))))))))))))</calculatedColumnFormula>
    </tableColumn>
    <tableColumn id="32" xr3:uid="{09E4DC36-E36E-4E65-9BCF-1FA10822CC4C}" name="Date" dataDxfId="4">
      <calculatedColumnFormula>DATE(B2,AE2,1)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BB1A1F-E983-4F6D-B41A-ED905D9FEA5F}" name="Table3" displayName="Table3" ref="A2:C13" totalsRowShown="0">
  <autoFilter ref="A2:C13" xr:uid="{0FBB1A1F-E983-4F6D-B41A-ED905D9FEA5F}"/>
  <tableColumns count="3">
    <tableColumn id="1" xr3:uid="{009F315E-3E46-4D70-8FB5-5D7EC5B8E82F}" name="Board buckets"/>
    <tableColumn id="2" xr3:uid="{94F7BF4E-F520-4604-95A9-C1D1E3D63C3A}" name="Broader buckets2"/>
    <tableColumn id="3" xr3:uid="{6EA743DE-B02B-425D-BC29-3910B7CB0D4C}" name="Contribution" dataDxfId="3">
      <calculatedColumnFormula>B3/$B$14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9D2F25-2D36-4A48-ACBC-6E6893C2D70C}" name="Table5" displayName="Table5" ref="A15:D28" totalsRowCount="1">
  <autoFilter ref="A15:D27" xr:uid="{9B9D2F25-2D36-4A48-ACBC-6E6893C2D70C}"/>
  <tableColumns count="4">
    <tableColumn id="1" xr3:uid="{A5C6AD40-6257-4B81-867F-1FB2F9A1DFB5}" name="Category" totalsRowFunction="custom">
      <totalsRowFormula>A25</totalsRowFormula>
    </tableColumn>
    <tableColumn id="2" xr3:uid="{34FE91FE-85A1-46DB-9E35-E10C36BF4D95}" name="Jun-22"/>
    <tableColumn id="3" xr3:uid="{2034B1A9-BD32-4658-A312-AC5C46BF1AC7}" name="May-23"/>
    <tableColumn id="4" xr3:uid="{B0D704A9-E6FF-4A1B-B9D4-67BE28BA4855}" name="Abs Change" totalsRowFunction="custom">
      <calculatedColumnFormula>C16-B16</calculatedColumnFormula>
      <totalsRowFormula>MAX(D16:D27)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2E2DD8-2FDE-4BBE-942D-6AF342B85B18}" name="Table6" displayName="Table6" ref="F35:I39" totalsRowShown="0">
  <autoFilter ref="F35:I39" xr:uid="{DA2E2DD8-2FDE-4BBE-942D-6AF342B85B18}"/>
  <tableColumns count="4">
    <tableColumn id="1" xr3:uid="{AC9674F6-7865-429F-A24D-D63AB63AEB74}" name="Category"/>
    <tableColumn id="2" xr3:uid="{3E577E70-F59D-4941-8E01-D4EADBE403AD}" name="Pre-COVID Avg" dataDxfId="2"/>
    <tableColumn id="3" xr3:uid="{447F47C3-C134-442F-89A6-6B81641B8083}" name="Post_COVID avg"/>
    <tableColumn id="4" xr3:uid="{2A76A49B-2B1E-427D-9F6E-DCA423EA720E}" name="Inflation" dataDxfId="1">
      <calculatedColumnFormula>H36-G36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CABFC72-8428-40B4-BF93-5BEAB047A268}" name="Table9" displayName="Table9" ref="AF30:AI34" totalsRowShown="0">
  <autoFilter ref="AF30:AI34" xr:uid="{7CABFC72-8428-40B4-BF93-5BEAB047A268}"/>
  <tableColumns count="4">
    <tableColumn id="1" xr3:uid="{9D819DDE-B69E-4BCA-9C5E-857399DDC7B7}" name="Category"/>
    <tableColumn id="2" xr3:uid="{30115423-C482-445B-A166-620BB759D680}" name="Pre-COVID Avg"/>
    <tableColumn id="3" xr3:uid="{D8BEBA1E-030F-480F-9E64-8E87640651DB}" name="Post_COVID avg"/>
    <tableColumn id="4" xr3:uid="{5719793E-BABF-4942-95EB-9FA1A5E78817}" name="Infl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1824DD-DFE6-4452-BEA1-F68C81F49F14}" name="Table7" displayName="Table7" ref="F35:G41" totalsRowShown="0">
  <autoFilter ref="F35:G41" xr:uid="{A21824DD-DFE6-4452-BEA1-F68C81F49F14}"/>
  <sortState xmlns:xlrd2="http://schemas.microsoft.com/office/spreadsheetml/2017/richdata2" ref="F36:G41">
    <sortCondition ref="G35:G41"/>
  </sortState>
  <tableColumns count="2">
    <tableColumn id="1" xr3:uid="{83051571-C3D8-4B03-8392-646271FC96A2}" name="Category"/>
    <tableColumn id="2" xr3:uid="{D2166976-4516-40C0-A313-063D0BD22729}" name="Corr_fuel_Mo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B139-BCA0-4766-8F5B-9B476324A604}">
  <dimension ref="A2:J105"/>
  <sheetViews>
    <sheetView showGridLines="0" tabSelected="1" zoomScale="90" zoomScaleNormal="90" workbookViewId="0">
      <selection activeCell="L7" sqref="L7"/>
    </sheetView>
  </sheetViews>
  <sheetFormatPr defaultRowHeight="14.5" x14ac:dyDescent="0.35"/>
  <cols>
    <col min="2" max="2" width="30.7265625" customWidth="1"/>
    <col min="3" max="3" width="12.54296875" customWidth="1"/>
    <col min="5" max="5" width="31.54296875" bestFit="1" customWidth="1"/>
    <col min="8" max="8" width="32.7265625" bestFit="1" customWidth="1"/>
  </cols>
  <sheetData>
    <row r="2" spans="2:10" ht="14.5" customHeight="1" x14ac:dyDescent="0.35"/>
    <row r="3" spans="2:10" ht="14.5" customHeight="1" x14ac:dyDescent="0.35"/>
    <row r="4" spans="2:10" ht="15" customHeight="1" thickBot="1" x14ac:dyDescent="0.4">
      <c r="B4" s="39"/>
    </row>
    <row r="5" spans="2:10" ht="15" thickTop="1" x14ac:dyDescent="0.35">
      <c r="B5" s="32" t="s">
        <v>100</v>
      </c>
      <c r="C5" s="28"/>
      <c r="D5" s="28"/>
      <c r="E5" s="34" t="s">
        <v>102</v>
      </c>
      <c r="F5" s="28"/>
      <c r="G5" s="28"/>
      <c r="H5" s="34" t="s">
        <v>105</v>
      </c>
    </row>
    <row r="6" spans="2:10" ht="23.5" x14ac:dyDescent="0.55000000000000004">
      <c r="B6" s="33">
        <v>45047</v>
      </c>
      <c r="C6" s="28"/>
      <c r="D6" s="28"/>
      <c r="E6" s="35" t="s">
        <v>103</v>
      </c>
      <c r="F6" s="28"/>
      <c r="G6" s="28"/>
      <c r="H6" s="35">
        <v>2022</v>
      </c>
    </row>
    <row r="7" spans="2:10" ht="15" thickBot="1" x14ac:dyDescent="0.4">
      <c r="B7" s="37" t="s">
        <v>101</v>
      </c>
      <c r="C7" s="28"/>
      <c r="D7" s="28"/>
      <c r="E7" s="38" t="s">
        <v>104</v>
      </c>
      <c r="F7" s="28"/>
      <c r="G7" s="28"/>
      <c r="H7" s="38" t="s">
        <v>106</v>
      </c>
    </row>
    <row r="8" spans="2:10" ht="15.5" thickTop="1" thickBot="1" x14ac:dyDescent="0.4">
      <c r="B8" s="30"/>
      <c r="C8" s="28"/>
      <c r="D8" s="28"/>
      <c r="E8" s="31"/>
      <c r="F8" s="28"/>
      <c r="G8" s="28"/>
      <c r="H8" s="31"/>
    </row>
    <row r="9" spans="2:10" ht="15" thickTop="1" x14ac:dyDescent="0.35">
      <c r="B9" s="34" t="s">
        <v>107</v>
      </c>
      <c r="C9" s="28"/>
      <c r="D9" s="28"/>
      <c r="E9" s="34" t="s">
        <v>112</v>
      </c>
      <c r="F9" s="28"/>
      <c r="G9" s="28"/>
      <c r="H9" s="34" t="s">
        <v>110</v>
      </c>
    </row>
    <row r="10" spans="2:10" ht="23.5" x14ac:dyDescent="0.55000000000000004">
      <c r="B10" s="36">
        <v>44986</v>
      </c>
      <c r="C10" s="28"/>
      <c r="D10" s="28"/>
      <c r="E10" s="35" t="s">
        <v>55</v>
      </c>
      <c r="F10" s="28"/>
      <c r="G10" s="28"/>
      <c r="H10" s="33">
        <v>43891</v>
      </c>
    </row>
    <row r="11" spans="2:10" ht="15" thickBot="1" x14ac:dyDescent="0.4">
      <c r="B11" s="38" t="s">
        <v>108</v>
      </c>
      <c r="C11" s="28"/>
      <c r="D11" s="28"/>
      <c r="E11" s="38" t="s">
        <v>109</v>
      </c>
      <c r="F11" s="28"/>
      <c r="G11" s="28"/>
      <c r="H11" s="38" t="s">
        <v>111</v>
      </c>
    </row>
    <row r="12" spans="2:10" ht="15" thickTop="1" x14ac:dyDescent="0.35">
      <c r="B12" s="48"/>
      <c r="C12" s="28"/>
      <c r="D12" s="28"/>
      <c r="E12" s="48"/>
      <c r="F12" s="28"/>
      <c r="G12" s="28"/>
      <c r="H12" s="48"/>
    </row>
    <row r="13" spans="2:10" x14ac:dyDescent="0.35">
      <c r="B13" s="48"/>
      <c r="C13" s="28"/>
      <c r="D13" s="28"/>
      <c r="E13" s="48"/>
      <c r="F13" s="28"/>
      <c r="G13" s="28"/>
      <c r="H13" s="48"/>
    </row>
    <row r="14" spans="2:10" x14ac:dyDescent="0.35">
      <c r="B14" s="48"/>
      <c r="C14" s="28"/>
      <c r="D14" s="28"/>
      <c r="E14" s="48"/>
      <c r="F14" s="28"/>
      <c r="G14" s="28"/>
      <c r="H14" s="48"/>
    </row>
    <row r="15" spans="2:10" x14ac:dyDescent="0.35">
      <c r="C15" s="17"/>
    </row>
    <row r="16" spans="2:10" x14ac:dyDescent="0.35">
      <c r="G16" s="17"/>
      <c r="H16" s="17"/>
      <c r="I16" s="17"/>
      <c r="J16" s="17"/>
    </row>
    <row r="17" spans="7:10" x14ac:dyDescent="0.35">
      <c r="G17" s="17"/>
      <c r="H17" s="17"/>
      <c r="I17" s="17"/>
      <c r="J17" s="17"/>
    </row>
    <row r="18" spans="7:10" x14ac:dyDescent="0.35">
      <c r="G18" s="17"/>
      <c r="H18" s="17"/>
      <c r="I18" s="17"/>
      <c r="J18" s="17"/>
    </row>
    <row r="19" spans="7:10" x14ac:dyDescent="0.35">
      <c r="G19" s="17"/>
      <c r="H19" s="17"/>
      <c r="I19" s="17"/>
      <c r="J19" s="17"/>
    </row>
    <row r="20" spans="7:10" x14ac:dyDescent="0.35">
      <c r="G20" s="17"/>
      <c r="H20" s="17"/>
      <c r="I20" s="17"/>
      <c r="J20" s="17"/>
    </row>
    <row r="21" spans="7:10" x14ac:dyDescent="0.35">
      <c r="G21" s="17"/>
      <c r="H21" s="17"/>
      <c r="I21" s="17"/>
      <c r="J21" s="17"/>
    </row>
    <row r="22" spans="7:10" x14ac:dyDescent="0.35">
      <c r="G22" s="17"/>
      <c r="H22" s="17"/>
      <c r="I22" s="17"/>
      <c r="J22" s="17"/>
    </row>
    <row r="23" spans="7:10" x14ac:dyDescent="0.35">
      <c r="G23" s="17"/>
      <c r="H23" s="17"/>
      <c r="I23" s="17"/>
      <c r="J23" s="17"/>
    </row>
    <row r="24" spans="7:10" x14ac:dyDescent="0.35">
      <c r="G24" s="17"/>
      <c r="H24" s="17"/>
      <c r="I24" s="17"/>
      <c r="J24" s="17"/>
    </row>
    <row r="25" spans="7:10" x14ac:dyDescent="0.35">
      <c r="G25" s="17"/>
      <c r="H25" s="17"/>
      <c r="I25" s="17"/>
      <c r="J25" s="17"/>
    </row>
    <row r="26" spans="7:10" x14ac:dyDescent="0.35">
      <c r="G26" s="17"/>
      <c r="H26" s="17"/>
      <c r="I26" s="17"/>
      <c r="J26" s="17"/>
    </row>
    <row r="27" spans="7:10" x14ac:dyDescent="0.35">
      <c r="G27" s="17"/>
      <c r="H27" s="17"/>
      <c r="I27" s="17"/>
      <c r="J27" s="17"/>
    </row>
    <row r="28" spans="7:10" x14ac:dyDescent="0.35">
      <c r="G28" s="17"/>
      <c r="H28" s="17"/>
      <c r="I28" s="17"/>
      <c r="J28" s="17"/>
    </row>
    <row r="100" spans="1:6" ht="15.5" x14ac:dyDescent="0.35">
      <c r="B100" s="29"/>
    </row>
    <row r="101" spans="1:6" ht="15.5" x14ac:dyDescent="0.35">
      <c r="B101" s="29"/>
    </row>
    <row r="104" spans="1:6" x14ac:dyDescent="0.35">
      <c r="A104" s="49" t="s">
        <v>116</v>
      </c>
      <c r="B104" s="50"/>
      <c r="C104" s="50"/>
      <c r="D104" s="50"/>
      <c r="E104" s="50"/>
      <c r="F104" s="50"/>
    </row>
    <row r="105" spans="1:6" x14ac:dyDescent="0.35">
      <c r="A105" s="50"/>
      <c r="B105" s="50"/>
      <c r="C105" s="50"/>
      <c r="D105" s="50"/>
      <c r="E105" s="50"/>
      <c r="F105" s="50"/>
    </row>
  </sheetData>
  <mergeCells count="1">
    <mergeCell ref="A104:F10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0D6D-0A57-4053-BD9B-F44A54479E06}">
  <dimension ref="A1:AD373"/>
  <sheetViews>
    <sheetView topLeftCell="A22" zoomScale="70" zoomScaleNormal="70" workbookViewId="0">
      <selection activeCell="AG20" sqref="AG20"/>
    </sheetView>
  </sheetViews>
  <sheetFormatPr defaultRowHeight="14.5" x14ac:dyDescent="0.35"/>
  <cols>
    <col min="4" max="4" width="20.1796875" customWidth="1"/>
    <col min="5" max="5" width="14.08984375" customWidth="1"/>
    <col min="7" max="7" width="17.54296875" customWidth="1"/>
    <col min="8" max="8" width="12.90625" customWidth="1"/>
    <col min="10" max="10" width="12.08984375" customWidth="1"/>
    <col min="11" max="11" width="19.26953125" customWidth="1"/>
    <col min="12" max="12" width="23" customWidth="1"/>
    <col min="14" max="14" width="22.90625" customWidth="1"/>
    <col min="15" max="15" width="32.26953125" customWidth="1"/>
    <col min="16" max="16" width="19.36328125" customWidth="1"/>
    <col min="17" max="17" width="26.08984375" customWidth="1"/>
    <col min="18" max="18" width="9.7265625" customWidth="1"/>
    <col min="19" max="19" width="10.90625" customWidth="1"/>
    <col min="20" max="20" width="21.36328125" customWidth="1"/>
    <col min="21" max="21" width="9.36328125" customWidth="1"/>
    <col min="22" max="22" width="13.90625" customWidth="1"/>
    <col min="23" max="23" width="27.453125" customWidth="1"/>
    <col min="25" max="25" width="27.54296875" customWidth="1"/>
    <col min="26" max="26" width="25.7265625" customWidth="1"/>
    <col min="27" max="27" width="10.90625" customWidth="1"/>
    <col min="28" max="28" width="23.453125" customWidth="1"/>
    <col min="29" max="30" width="14.3632812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5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5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5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5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5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5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5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5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35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35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35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35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35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35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5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5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5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5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5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5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5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5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5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5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5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5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5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5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5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5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5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5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5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5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5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5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5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5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5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5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5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5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5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5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5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5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5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5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5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5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5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5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5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5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5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5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5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5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5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5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5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5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5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5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5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5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5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5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5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5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5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5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5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5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5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5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5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5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5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5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5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5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5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5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5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5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5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5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5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5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5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5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5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5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5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5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5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5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5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5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5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5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5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5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5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5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9D79-E067-4C85-9DB8-701A0449F966}">
  <sheetPr filterMode="1"/>
  <dimension ref="A1:AD125"/>
  <sheetViews>
    <sheetView workbookViewId="0">
      <selection activeCell="AF66" sqref="AF66"/>
    </sheetView>
  </sheetViews>
  <sheetFormatPr defaultRowHeight="14.5" x14ac:dyDescent="0.35"/>
  <cols>
    <col min="3" max="18" width="0" hidden="1" customWidth="1"/>
    <col min="19" max="19" width="7.54296875" hidden="1" customWidth="1"/>
    <col min="20" max="27" width="0" hidden="1" customWidth="1"/>
    <col min="28" max="28" width="12.36328125" bestFit="1" customWidth="1"/>
    <col min="29" max="29" width="9.08984375" bestFit="1" customWidth="1"/>
    <col min="30" max="30" width="12.36328125" bestFit="1" customWidth="1"/>
  </cols>
  <sheetData>
    <row r="1" spans="1:30" x14ac:dyDescent="0.3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17</v>
      </c>
      <c r="R1" s="1" t="s">
        <v>18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0" t="s">
        <v>50</v>
      </c>
      <c r="AD1" s="18" t="s">
        <v>59</v>
      </c>
    </row>
    <row r="2" spans="1:30" hidden="1" x14ac:dyDescent="0.35">
      <c r="A2" s="5" t="s">
        <v>34</v>
      </c>
      <c r="B2" s="3">
        <v>2013</v>
      </c>
      <c r="C2" s="3" t="s">
        <v>31</v>
      </c>
      <c r="D2" s="3">
        <v>108.4</v>
      </c>
      <c r="E2" s="3">
        <v>107.3</v>
      </c>
      <c r="F2" s="3">
        <v>110</v>
      </c>
      <c r="G2" s="3">
        <v>104.4</v>
      </c>
      <c r="H2" s="3">
        <v>105.1</v>
      </c>
      <c r="I2" s="3">
        <v>103.2</v>
      </c>
      <c r="J2" s="3">
        <v>102.2</v>
      </c>
      <c r="K2" s="3">
        <v>106</v>
      </c>
      <c r="L2" s="3">
        <v>106.2</v>
      </c>
      <c r="M2" s="3">
        <v>102.7</v>
      </c>
      <c r="N2" s="3">
        <v>104.9</v>
      </c>
      <c r="O2" s="3">
        <v>107.3</v>
      </c>
      <c r="P2" s="3">
        <v>105.1</v>
      </c>
      <c r="Q2" s="3">
        <v>106.3</v>
      </c>
      <c r="R2" s="3">
        <v>105.5</v>
      </c>
      <c r="S2" s="3">
        <v>100.3</v>
      </c>
      <c r="T2" s="3">
        <v>105.5</v>
      </c>
      <c r="U2" s="3">
        <v>104.8</v>
      </c>
      <c r="V2" s="3">
        <v>104</v>
      </c>
      <c r="W2" s="3">
        <v>103.2</v>
      </c>
      <c r="X2" s="3">
        <v>103.1</v>
      </c>
      <c r="Y2" s="3">
        <v>103.6</v>
      </c>
      <c r="Z2" s="3">
        <v>104.5</v>
      </c>
      <c r="AA2" s="3">
        <v>103.9</v>
      </c>
      <c r="AB2" s="3">
        <v>104.6</v>
      </c>
      <c r="AC2" s="8">
        <v>41275</v>
      </c>
    </row>
    <row r="3" spans="1:30" hidden="1" x14ac:dyDescent="0.35">
      <c r="A3" s="4" t="s">
        <v>34</v>
      </c>
      <c r="B3" s="2">
        <v>2013</v>
      </c>
      <c r="C3" s="2" t="s">
        <v>35</v>
      </c>
      <c r="D3" s="2">
        <v>110.4</v>
      </c>
      <c r="E3" s="2">
        <v>110.2</v>
      </c>
      <c r="F3" s="2">
        <v>112.8</v>
      </c>
      <c r="G3" s="2">
        <v>104.9</v>
      </c>
      <c r="H3" s="2">
        <v>105.5</v>
      </c>
      <c r="I3" s="2">
        <v>103.6</v>
      </c>
      <c r="J3" s="2">
        <v>103.2</v>
      </c>
      <c r="K3" s="2">
        <v>105.3</v>
      </c>
      <c r="L3" s="2">
        <v>105.1</v>
      </c>
      <c r="M3" s="2">
        <v>102.8</v>
      </c>
      <c r="N3" s="2">
        <v>105.5</v>
      </c>
      <c r="O3" s="2">
        <v>108.3</v>
      </c>
      <c r="P3" s="2">
        <v>105.7</v>
      </c>
      <c r="Q3" s="2">
        <v>106.9</v>
      </c>
      <c r="R3" s="2">
        <v>106</v>
      </c>
      <c r="S3" s="2">
        <v>100.4</v>
      </c>
      <c r="T3" s="2">
        <v>106</v>
      </c>
      <c r="U3" s="2">
        <v>105.2</v>
      </c>
      <c r="V3" s="2">
        <v>104.5</v>
      </c>
      <c r="W3" s="2">
        <v>104.2</v>
      </c>
      <c r="X3" s="2">
        <v>103.6</v>
      </c>
      <c r="Y3" s="2">
        <v>103.9</v>
      </c>
      <c r="Z3" s="2">
        <v>104.5</v>
      </c>
      <c r="AA3" s="2">
        <v>104.4</v>
      </c>
      <c r="AB3" s="2">
        <v>105.3</v>
      </c>
      <c r="AC3" s="9">
        <v>41306</v>
      </c>
    </row>
    <row r="4" spans="1:30" hidden="1" x14ac:dyDescent="0.35">
      <c r="A4" s="5" t="s">
        <v>34</v>
      </c>
      <c r="B4" s="3">
        <v>2013</v>
      </c>
      <c r="C4" s="3" t="s">
        <v>36</v>
      </c>
      <c r="D4" s="3">
        <v>111.4</v>
      </c>
      <c r="E4" s="3">
        <v>109.7</v>
      </c>
      <c r="F4" s="3">
        <v>111.2</v>
      </c>
      <c r="G4" s="3">
        <v>105.1</v>
      </c>
      <c r="H4" s="3">
        <v>104.9</v>
      </c>
      <c r="I4" s="3">
        <v>105.3</v>
      </c>
      <c r="J4" s="3">
        <v>102.2</v>
      </c>
      <c r="K4" s="3">
        <v>105</v>
      </c>
      <c r="L4" s="3">
        <v>104.2</v>
      </c>
      <c r="M4" s="3">
        <v>103</v>
      </c>
      <c r="N4" s="3">
        <v>106.2</v>
      </c>
      <c r="O4" s="3">
        <v>108.9</v>
      </c>
      <c r="P4" s="3">
        <v>106.6</v>
      </c>
      <c r="Q4" s="3">
        <v>107.4</v>
      </c>
      <c r="R4" s="3">
        <v>106.5</v>
      </c>
      <c r="S4" s="3">
        <v>100.4</v>
      </c>
      <c r="T4" s="3">
        <v>106.1</v>
      </c>
      <c r="U4" s="3">
        <v>105.6</v>
      </c>
      <c r="V4" s="3">
        <v>104.9</v>
      </c>
      <c r="W4" s="3">
        <v>105.1</v>
      </c>
      <c r="X4" s="3">
        <v>103.7</v>
      </c>
      <c r="Y4" s="3">
        <v>104</v>
      </c>
      <c r="Z4" s="3">
        <v>104.3</v>
      </c>
      <c r="AA4" s="3">
        <v>104.7</v>
      </c>
      <c r="AB4" s="3">
        <v>105.5</v>
      </c>
      <c r="AC4" s="8">
        <v>41334</v>
      </c>
    </row>
    <row r="5" spans="1:30" hidden="1" x14ac:dyDescent="0.35">
      <c r="A5" s="4" t="s">
        <v>34</v>
      </c>
      <c r="B5" s="2">
        <v>2013</v>
      </c>
      <c r="C5" s="2" t="s">
        <v>37</v>
      </c>
      <c r="D5" s="2">
        <v>111.6</v>
      </c>
      <c r="E5" s="2">
        <v>110.9</v>
      </c>
      <c r="F5" s="2">
        <v>106.6</v>
      </c>
      <c r="G5" s="2">
        <v>105.7</v>
      </c>
      <c r="H5" s="2">
        <v>104.4</v>
      </c>
      <c r="I5" s="2">
        <v>108.9</v>
      </c>
      <c r="J5" s="2">
        <v>105.5</v>
      </c>
      <c r="K5" s="2">
        <v>105.3</v>
      </c>
      <c r="L5" s="2">
        <v>103.5</v>
      </c>
      <c r="M5" s="2">
        <v>103.3</v>
      </c>
      <c r="N5" s="2">
        <v>107.2</v>
      </c>
      <c r="O5" s="2">
        <v>109.6</v>
      </c>
      <c r="P5" s="2">
        <v>107.5</v>
      </c>
      <c r="Q5" s="2">
        <v>108</v>
      </c>
      <c r="R5" s="2">
        <v>107</v>
      </c>
      <c r="S5" s="2">
        <v>100.5</v>
      </c>
      <c r="T5" s="2">
        <v>106.5</v>
      </c>
      <c r="U5" s="2">
        <v>106.3</v>
      </c>
      <c r="V5" s="2">
        <v>105.3</v>
      </c>
      <c r="W5" s="2">
        <v>104.7</v>
      </c>
      <c r="X5" s="2">
        <v>104.2</v>
      </c>
      <c r="Y5" s="2">
        <v>105</v>
      </c>
      <c r="Z5" s="2">
        <v>102.9</v>
      </c>
      <c r="AA5" s="2">
        <v>104.8</v>
      </c>
      <c r="AB5" s="2">
        <v>106.1</v>
      </c>
      <c r="AC5" s="9">
        <v>41365</v>
      </c>
    </row>
    <row r="6" spans="1:30" hidden="1" x14ac:dyDescent="0.35">
      <c r="A6" s="5" t="s">
        <v>34</v>
      </c>
      <c r="B6" s="3">
        <v>2013</v>
      </c>
      <c r="C6" s="3" t="s">
        <v>38</v>
      </c>
      <c r="D6" s="3">
        <v>112.3</v>
      </c>
      <c r="E6" s="3">
        <v>111.3</v>
      </c>
      <c r="F6" s="3">
        <v>104.7</v>
      </c>
      <c r="G6" s="3">
        <v>106.8</v>
      </c>
      <c r="H6" s="3">
        <v>103.9</v>
      </c>
      <c r="I6" s="3">
        <v>109.3</v>
      </c>
      <c r="J6" s="3">
        <v>112.9</v>
      </c>
      <c r="K6" s="3">
        <v>105.8</v>
      </c>
      <c r="L6" s="3">
        <v>103.1</v>
      </c>
      <c r="M6" s="3">
        <v>104.3</v>
      </c>
      <c r="N6" s="3">
        <v>108.1</v>
      </c>
      <c r="O6" s="3">
        <v>110.5</v>
      </c>
      <c r="P6" s="3">
        <v>108.6</v>
      </c>
      <c r="Q6" s="3">
        <v>108.7</v>
      </c>
      <c r="R6" s="3">
        <v>107.4</v>
      </c>
      <c r="S6" s="3">
        <v>100.5</v>
      </c>
      <c r="T6" s="3">
        <v>107.4</v>
      </c>
      <c r="U6" s="3">
        <v>106.9</v>
      </c>
      <c r="V6" s="3">
        <v>105.9</v>
      </c>
      <c r="W6" s="3">
        <v>104</v>
      </c>
      <c r="X6" s="3">
        <v>104.8</v>
      </c>
      <c r="Y6" s="3">
        <v>105.6</v>
      </c>
      <c r="Z6" s="3">
        <v>102.3</v>
      </c>
      <c r="AA6" s="3">
        <v>104.8</v>
      </c>
      <c r="AB6" s="3">
        <v>106.9</v>
      </c>
      <c r="AC6" s="8">
        <v>41395</v>
      </c>
    </row>
    <row r="7" spans="1:30" hidden="1" x14ac:dyDescent="0.35">
      <c r="A7" s="4" t="s">
        <v>34</v>
      </c>
      <c r="B7" s="2">
        <v>2013</v>
      </c>
      <c r="C7" s="2" t="s">
        <v>39</v>
      </c>
      <c r="D7" s="2">
        <v>113.8</v>
      </c>
      <c r="E7" s="2">
        <v>114.9</v>
      </c>
      <c r="F7" s="2">
        <v>109.8</v>
      </c>
      <c r="G7" s="2">
        <v>107.9</v>
      </c>
      <c r="H7" s="2">
        <v>104.2</v>
      </c>
      <c r="I7" s="2">
        <v>110.7</v>
      </c>
      <c r="J7" s="2">
        <v>126.7</v>
      </c>
      <c r="K7" s="2">
        <v>106.3</v>
      </c>
      <c r="L7" s="2">
        <v>103.2</v>
      </c>
      <c r="M7" s="2">
        <v>105.7</v>
      </c>
      <c r="N7" s="2">
        <v>109</v>
      </c>
      <c r="O7" s="2">
        <v>111.6</v>
      </c>
      <c r="P7" s="2">
        <v>109.5</v>
      </c>
      <c r="Q7" s="2">
        <v>109.5</v>
      </c>
      <c r="R7" s="2">
        <v>108.1</v>
      </c>
      <c r="S7" s="2">
        <v>106.6</v>
      </c>
      <c r="T7" s="2">
        <v>108.3</v>
      </c>
      <c r="U7" s="2">
        <v>107.6</v>
      </c>
      <c r="V7" s="2">
        <v>106.4</v>
      </c>
      <c r="W7" s="2">
        <v>105.1</v>
      </c>
      <c r="X7" s="2">
        <v>105.4</v>
      </c>
      <c r="Y7" s="2">
        <v>107.4</v>
      </c>
      <c r="Z7" s="2">
        <v>102.8</v>
      </c>
      <c r="AA7" s="2">
        <v>105.8</v>
      </c>
      <c r="AB7" s="2">
        <v>109.3</v>
      </c>
      <c r="AC7" s="9">
        <v>41426</v>
      </c>
    </row>
    <row r="8" spans="1:30" hidden="1" x14ac:dyDescent="0.35">
      <c r="A8" s="5" t="s">
        <v>34</v>
      </c>
      <c r="B8" s="3">
        <v>2013</v>
      </c>
      <c r="C8" s="3" t="s">
        <v>40</v>
      </c>
      <c r="D8" s="3">
        <v>114.8</v>
      </c>
      <c r="E8" s="3">
        <v>116.4</v>
      </c>
      <c r="F8" s="3">
        <v>111.9</v>
      </c>
      <c r="G8" s="3">
        <v>108.9</v>
      </c>
      <c r="H8" s="3">
        <v>104.3</v>
      </c>
      <c r="I8" s="3">
        <v>111.7</v>
      </c>
      <c r="J8" s="3">
        <v>140</v>
      </c>
      <c r="K8" s="3">
        <v>106.4</v>
      </c>
      <c r="L8" s="3">
        <v>103.3</v>
      </c>
      <c r="M8" s="3">
        <v>106.8</v>
      </c>
      <c r="N8" s="3">
        <v>109.6</v>
      </c>
      <c r="O8" s="3">
        <v>112.6</v>
      </c>
      <c r="P8" s="3">
        <v>110.3</v>
      </c>
      <c r="Q8" s="3">
        <v>110.2</v>
      </c>
      <c r="R8" s="3">
        <v>108.8</v>
      </c>
      <c r="S8" s="3">
        <v>107.7</v>
      </c>
      <c r="T8" s="3">
        <v>109.2</v>
      </c>
      <c r="U8" s="3">
        <v>108.2</v>
      </c>
      <c r="V8" s="3">
        <v>107</v>
      </c>
      <c r="W8" s="3">
        <v>107.1</v>
      </c>
      <c r="X8" s="3">
        <v>106.1</v>
      </c>
      <c r="Y8" s="3">
        <v>109.1</v>
      </c>
      <c r="Z8" s="3">
        <v>102.8</v>
      </c>
      <c r="AA8" s="3">
        <v>106.9</v>
      </c>
      <c r="AB8" s="3">
        <v>111</v>
      </c>
      <c r="AC8" s="8">
        <v>41456</v>
      </c>
    </row>
    <row r="9" spans="1:30" hidden="1" x14ac:dyDescent="0.35">
      <c r="A9" s="4" t="s">
        <v>34</v>
      </c>
      <c r="B9" s="2">
        <v>2013</v>
      </c>
      <c r="C9" s="2" t="s">
        <v>41</v>
      </c>
      <c r="D9" s="2">
        <v>115.6</v>
      </c>
      <c r="E9" s="2">
        <v>117.2</v>
      </c>
      <c r="F9" s="2">
        <v>111.7</v>
      </c>
      <c r="G9" s="2">
        <v>109.6</v>
      </c>
      <c r="H9" s="2">
        <v>104.5</v>
      </c>
      <c r="I9" s="2">
        <v>109.8</v>
      </c>
      <c r="J9" s="2">
        <v>151.80000000000001</v>
      </c>
      <c r="K9" s="2">
        <v>106.5</v>
      </c>
      <c r="L9" s="2">
        <v>103.1</v>
      </c>
      <c r="M9" s="2">
        <v>107.4</v>
      </c>
      <c r="N9" s="2">
        <v>110.2</v>
      </c>
      <c r="O9" s="2">
        <v>113.4</v>
      </c>
      <c r="P9" s="2">
        <v>111.2</v>
      </c>
      <c r="Q9" s="2">
        <v>111</v>
      </c>
      <c r="R9" s="2">
        <v>109.4</v>
      </c>
      <c r="S9" s="2">
        <v>108.9</v>
      </c>
      <c r="T9" s="2">
        <v>109.7</v>
      </c>
      <c r="U9" s="2">
        <v>108.7</v>
      </c>
      <c r="V9" s="2">
        <v>107.5</v>
      </c>
      <c r="W9" s="2">
        <v>108</v>
      </c>
      <c r="X9" s="2">
        <v>106.6</v>
      </c>
      <c r="Y9" s="2">
        <v>109.9</v>
      </c>
      <c r="Z9" s="2">
        <v>105.4</v>
      </c>
      <c r="AA9" s="2">
        <v>107.9</v>
      </c>
      <c r="AB9" s="2">
        <v>112.4</v>
      </c>
      <c r="AC9" s="9">
        <v>41487</v>
      </c>
    </row>
    <row r="10" spans="1:30" hidden="1" x14ac:dyDescent="0.35">
      <c r="A10" s="5" t="s">
        <v>34</v>
      </c>
      <c r="B10" s="3">
        <v>2013</v>
      </c>
      <c r="C10" s="3" t="s">
        <v>42</v>
      </c>
      <c r="D10" s="3">
        <v>116.4</v>
      </c>
      <c r="E10" s="3">
        <v>116.9</v>
      </c>
      <c r="F10" s="3">
        <v>112.3</v>
      </c>
      <c r="G10" s="3">
        <v>110.5</v>
      </c>
      <c r="H10" s="3">
        <v>105.3</v>
      </c>
      <c r="I10" s="3">
        <v>107.3</v>
      </c>
      <c r="J10" s="3">
        <v>160.9</v>
      </c>
      <c r="K10" s="3">
        <v>107.1</v>
      </c>
      <c r="L10" s="3">
        <v>103.1</v>
      </c>
      <c r="M10" s="3">
        <v>108.3</v>
      </c>
      <c r="N10" s="3">
        <v>110.7</v>
      </c>
      <c r="O10" s="3">
        <v>114.6</v>
      </c>
      <c r="P10" s="3">
        <v>112</v>
      </c>
      <c r="Q10" s="3">
        <v>112.2</v>
      </c>
      <c r="R10" s="3">
        <v>110.4</v>
      </c>
      <c r="S10" s="3">
        <v>109.7</v>
      </c>
      <c r="T10" s="3">
        <v>110.5</v>
      </c>
      <c r="U10" s="3">
        <v>109.6</v>
      </c>
      <c r="V10" s="3">
        <v>108.1</v>
      </c>
      <c r="W10" s="3">
        <v>109.9</v>
      </c>
      <c r="X10" s="3">
        <v>107.5</v>
      </c>
      <c r="Y10" s="3">
        <v>110.6</v>
      </c>
      <c r="Z10" s="3">
        <v>106.8</v>
      </c>
      <c r="AA10" s="3">
        <v>109</v>
      </c>
      <c r="AB10" s="3">
        <v>113.7</v>
      </c>
      <c r="AC10" s="8">
        <v>41518</v>
      </c>
    </row>
    <row r="11" spans="1:30" hidden="1" x14ac:dyDescent="0.35">
      <c r="A11" s="4" t="s">
        <v>34</v>
      </c>
      <c r="B11" s="2">
        <v>2013</v>
      </c>
      <c r="C11" s="2" t="s">
        <v>43</v>
      </c>
      <c r="D11" s="2">
        <v>117.1</v>
      </c>
      <c r="E11" s="2">
        <v>116.3</v>
      </c>
      <c r="F11" s="2">
        <v>113.3</v>
      </c>
      <c r="G11" s="2">
        <v>111.2</v>
      </c>
      <c r="H11" s="2">
        <v>105.7</v>
      </c>
      <c r="I11" s="2">
        <v>109.9</v>
      </c>
      <c r="J11" s="2">
        <v>171.2</v>
      </c>
      <c r="K11" s="2">
        <v>107.3</v>
      </c>
      <c r="L11" s="2">
        <v>102.7</v>
      </c>
      <c r="M11" s="2">
        <v>108.7</v>
      </c>
      <c r="N11" s="2">
        <v>111.2</v>
      </c>
      <c r="O11" s="2">
        <v>115.4</v>
      </c>
      <c r="P11" s="2">
        <v>112.5</v>
      </c>
      <c r="Q11" s="2">
        <v>113.2</v>
      </c>
      <c r="R11" s="2">
        <v>111.2</v>
      </c>
      <c r="S11" s="2">
        <v>110.5</v>
      </c>
      <c r="T11" s="2">
        <v>110.9</v>
      </c>
      <c r="U11" s="2">
        <v>110.3</v>
      </c>
      <c r="V11" s="2">
        <v>108.6</v>
      </c>
      <c r="W11" s="2">
        <v>109.5</v>
      </c>
      <c r="X11" s="2">
        <v>108.1</v>
      </c>
      <c r="Y11" s="2">
        <v>110.8</v>
      </c>
      <c r="Z11" s="2">
        <v>107.4</v>
      </c>
      <c r="AA11" s="2">
        <v>109.2</v>
      </c>
      <c r="AB11" s="2">
        <v>114.8</v>
      </c>
      <c r="AC11" s="9">
        <v>41548</v>
      </c>
    </row>
    <row r="12" spans="1:30" hidden="1" x14ac:dyDescent="0.35">
      <c r="A12" s="5" t="s">
        <v>34</v>
      </c>
      <c r="B12" s="3">
        <v>2013</v>
      </c>
      <c r="C12" s="3" t="s">
        <v>45</v>
      </c>
      <c r="D12" s="3">
        <v>118.1</v>
      </c>
      <c r="E12" s="3">
        <v>115.4</v>
      </c>
      <c r="F12" s="3">
        <v>118.7</v>
      </c>
      <c r="G12" s="3">
        <v>112.5</v>
      </c>
      <c r="H12" s="3">
        <v>106.8</v>
      </c>
      <c r="I12" s="3">
        <v>113.5</v>
      </c>
      <c r="J12" s="3">
        <v>183.1</v>
      </c>
      <c r="K12" s="3">
        <v>108.2</v>
      </c>
      <c r="L12" s="3">
        <v>102.2</v>
      </c>
      <c r="M12" s="3">
        <v>109.4</v>
      </c>
      <c r="N12" s="3">
        <v>111.8</v>
      </c>
      <c r="O12" s="3">
        <v>116.5</v>
      </c>
      <c r="P12" s="3">
        <v>113.1</v>
      </c>
      <c r="Q12" s="3">
        <v>114.2</v>
      </c>
      <c r="R12" s="3">
        <v>111.9</v>
      </c>
      <c r="S12" s="3">
        <v>111.1</v>
      </c>
      <c r="T12" s="3">
        <v>111.6</v>
      </c>
      <c r="U12" s="3">
        <v>111.1</v>
      </c>
      <c r="V12" s="3">
        <v>109.3</v>
      </c>
      <c r="W12" s="3">
        <v>109.5</v>
      </c>
      <c r="X12" s="3">
        <v>108.6</v>
      </c>
      <c r="Y12" s="3">
        <v>111.2</v>
      </c>
      <c r="Z12" s="3">
        <v>108.1</v>
      </c>
      <c r="AA12" s="3">
        <v>109.7</v>
      </c>
      <c r="AB12" s="3">
        <v>116.3</v>
      </c>
      <c r="AC12" s="8">
        <v>41579</v>
      </c>
    </row>
    <row r="13" spans="1:30" hidden="1" x14ac:dyDescent="0.35">
      <c r="A13" s="4" t="s">
        <v>34</v>
      </c>
      <c r="B13" s="2">
        <v>2013</v>
      </c>
      <c r="C13" s="2" t="s">
        <v>46</v>
      </c>
      <c r="D13" s="2">
        <v>119.1</v>
      </c>
      <c r="E13" s="2">
        <v>116.7</v>
      </c>
      <c r="F13" s="2">
        <v>123.5</v>
      </c>
      <c r="G13" s="2">
        <v>113.4</v>
      </c>
      <c r="H13" s="2">
        <v>107.3</v>
      </c>
      <c r="I13" s="2">
        <v>113.3</v>
      </c>
      <c r="J13" s="2">
        <v>145.4</v>
      </c>
      <c r="K13" s="2">
        <v>108.7</v>
      </c>
      <c r="L13" s="2">
        <v>101.5</v>
      </c>
      <c r="M13" s="2">
        <v>110.5</v>
      </c>
      <c r="N13" s="2">
        <v>112.1</v>
      </c>
      <c r="O13" s="2">
        <v>117.4</v>
      </c>
      <c r="P13" s="2">
        <v>114</v>
      </c>
      <c r="Q13" s="2">
        <v>115.2</v>
      </c>
      <c r="R13" s="2">
        <v>112.7</v>
      </c>
      <c r="S13" s="2">
        <v>110.7</v>
      </c>
      <c r="T13" s="2">
        <v>111.9</v>
      </c>
      <c r="U13" s="2">
        <v>111.7</v>
      </c>
      <c r="V13" s="2">
        <v>109.7</v>
      </c>
      <c r="W13" s="2">
        <v>109.8</v>
      </c>
      <c r="X13" s="2">
        <v>109</v>
      </c>
      <c r="Y13" s="2">
        <v>111.5</v>
      </c>
      <c r="Z13" s="2">
        <v>107.9</v>
      </c>
      <c r="AA13" s="2">
        <v>110</v>
      </c>
      <c r="AB13" s="2">
        <v>114.5</v>
      </c>
      <c r="AC13" s="9">
        <v>41609</v>
      </c>
    </row>
    <row r="14" spans="1:30" hidden="1" x14ac:dyDescent="0.35">
      <c r="A14" s="5" t="s">
        <v>34</v>
      </c>
      <c r="B14" s="3">
        <v>2014</v>
      </c>
      <c r="C14" s="3" t="s">
        <v>31</v>
      </c>
      <c r="D14" s="3">
        <v>119.6</v>
      </c>
      <c r="E14" s="3">
        <v>118.8</v>
      </c>
      <c r="F14" s="3">
        <v>124.1</v>
      </c>
      <c r="G14" s="3">
        <v>114.1</v>
      </c>
      <c r="H14" s="3">
        <v>106.8</v>
      </c>
      <c r="I14" s="3">
        <v>113.9</v>
      </c>
      <c r="J14" s="3">
        <v>122.2</v>
      </c>
      <c r="K14" s="3">
        <v>108.9</v>
      </c>
      <c r="L14" s="3">
        <v>100.2</v>
      </c>
      <c r="M14" s="3">
        <v>111</v>
      </c>
      <c r="N14" s="3">
        <v>112.3</v>
      </c>
      <c r="O14" s="3">
        <v>118.1</v>
      </c>
      <c r="P14" s="3">
        <v>114.5</v>
      </c>
      <c r="Q14" s="3">
        <v>115.8</v>
      </c>
      <c r="R14" s="3">
        <v>113.2</v>
      </c>
      <c r="S14" s="3">
        <v>111.6</v>
      </c>
      <c r="T14" s="3">
        <v>112.2</v>
      </c>
      <c r="U14" s="3">
        <v>112.3</v>
      </c>
      <c r="V14" s="3">
        <v>110.3</v>
      </c>
      <c r="W14" s="3">
        <v>110.7</v>
      </c>
      <c r="X14" s="3">
        <v>109.7</v>
      </c>
      <c r="Y14" s="3">
        <v>111.6</v>
      </c>
      <c r="Z14" s="3">
        <v>108.2</v>
      </c>
      <c r="AA14" s="3">
        <v>110.6</v>
      </c>
      <c r="AB14" s="3">
        <v>113.6</v>
      </c>
      <c r="AC14" s="8">
        <v>41640</v>
      </c>
      <c r="AD14" s="11">
        <f>((AB14-AB2)/AB2)*100</f>
        <v>8.6042065009560229</v>
      </c>
    </row>
    <row r="15" spans="1:30" hidden="1" x14ac:dyDescent="0.35">
      <c r="A15" s="4" t="s">
        <v>34</v>
      </c>
      <c r="B15" s="2">
        <v>2014</v>
      </c>
      <c r="C15" s="2" t="s">
        <v>35</v>
      </c>
      <c r="D15" s="2">
        <v>120.2</v>
      </c>
      <c r="E15" s="2">
        <v>119.2</v>
      </c>
      <c r="F15" s="2">
        <v>122.5</v>
      </c>
      <c r="G15" s="2">
        <v>115.1</v>
      </c>
      <c r="H15" s="2">
        <v>106.6</v>
      </c>
      <c r="I15" s="2">
        <v>115.4</v>
      </c>
      <c r="J15" s="2">
        <v>114.5</v>
      </c>
      <c r="K15" s="2">
        <v>109.3</v>
      </c>
      <c r="L15" s="2">
        <v>99.2</v>
      </c>
      <c r="M15" s="2">
        <v>111.4</v>
      </c>
      <c r="N15" s="2">
        <v>112.6</v>
      </c>
      <c r="O15" s="2">
        <v>118.8</v>
      </c>
      <c r="P15" s="2">
        <v>114.7</v>
      </c>
      <c r="Q15" s="2">
        <v>116.4</v>
      </c>
      <c r="R15" s="2">
        <v>113.3</v>
      </c>
      <c r="S15" s="2">
        <v>112.5</v>
      </c>
      <c r="T15" s="2">
        <v>112.4</v>
      </c>
      <c r="U15" s="2">
        <v>112.8</v>
      </c>
      <c r="V15" s="2">
        <v>110.7</v>
      </c>
      <c r="W15" s="2">
        <v>111.1</v>
      </c>
      <c r="X15" s="2">
        <v>110.1</v>
      </c>
      <c r="Y15" s="2">
        <v>111.8</v>
      </c>
      <c r="Z15" s="2">
        <v>108.7</v>
      </c>
      <c r="AA15" s="2">
        <v>110.9</v>
      </c>
      <c r="AB15" s="2">
        <v>113.6</v>
      </c>
      <c r="AC15" s="9">
        <v>41671</v>
      </c>
      <c r="AD15" s="11">
        <f t="shared" ref="AD15:AD78" si="0">((AB15-AB3)/AB3)*100</f>
        <v>7.8822412155745463</v>
      </c>
    </row>
    <row r="16" spans="1:30" hidden="1" x14ac:dyDescent="0.35">
      <c r="A16" s="5" t="s">
        <v>34</v>
      </c>
      <c r="B16" s="3">
        <v>2014</v>
      </c>
      <c r="C16" s="3" t="s">
        <v>36</v>
      </c>
      <c r="D16" s="3">
        <v>120.7</v>
      </c>
      <c r="E16" s="3">
        <v>119.3</v>
      </c>
      <c r="F16" s="3">
        <v>121</v>
      </c>
      <c r="G16" s="3">
        <v>116.1</v>
      </c>
      <c r="H16" s="3">
        <v>106.9</v>
      </c>
      <c r="I16" s="3">
        <v>118.7</v>
      </c>
      <c r="J16" s="3">
        <v>116.3</v>
      </c>
      <c r="K16" s="3">
        <v>109.8</v>
      </c>
      <c r="L16" s="3">
        <v>99.6</v>
      </c>
      <c r="M16" s="3">
        <v>111.8</v>
      </c>
      <c r="N16" s="3">
        <v>112.7</v>
      </c>
      <c r="O16" s="3">
        <v>119.3</v>
      </c>
      <c r="P16" s="3">
        <v>115.2</v>
      </c>
      <c r="Q16" s="3">
        <v>116.8</v>
      </c>
      <c r="R16" s="3">
        <v>113.7</v>
      </c>
      <c r="S16" s="3">
        <v>113.2</v>
      </c>
      <c r="T16" s="3">
        <v>112.5</v>
      </c>
      <c r="U16" s="3">
        <v>113.2</v>
      </c>
      <c r="V16" s="3">
        <v>111.2</v>
      </c>
      <c r="W16" s="3">
        <v>111.4</v>
      </c>
      <c r="X16" s="3">
        <v>110.6</v>
      </c>
      <c r="Y16" s="3">
        <v>112</v>
      </c>
      <c r="Z16" s="3">
        <v>109</v>
      </c>
      <c r="AA16" s="3">
        <v>111.3</v>
      </c>
      <c r="AB16" s="3">
        <v>114.2</v>
      </c>
      <c r="AC16" s="8">
        <v>41699</v>
      </c>
      <c r="AD16" s="11">
        <f t="shared" si="0"/>
        <v>8.2464454976303347</v>
      </c>
    </row>
    <row r="17" spans="1:30" hidden="1" x14ac:dyDescent="0.35">
      <c r="A17" s="4" t="s">
        <v>34</v>
      </c>
      <c r="B17" s="2">
        <v>2014</v>
      </c>
      <c r="C17" s="2" t="s">
        <v>37</v>
      </c>
      <c r="D17" s="2">
        <v>120.9</v>
      </c>
      <c r="E17" s="2">
        <v>119.9</v>
      </c>
      <c r="F17" s="2">
        <v>116.2</v>
      </c>
      <c r="G17" s="2">
        <v>117</v>
      </c>
      <c r="H17" s="2">
        <v>107.3</v>
      </c>
      <c r="I17" s="2">
        <v>126.1</v>
      </c>
      <c r="J17" s="2">
        <v>120.7</v>
      </c>
      <c r="K17" s="2">
        <v>111</v>
      </c>
      <c r="L17" s="2">
        <v>101.8</v>
      </c>
      <c r="M17" s="2">
        <v>112.6</v>
      </c>
      <c r="N17" s="2">
        <v>113.2</v>
      </c>
      <c r="O17" s="2">
        <v>119.8</v>
      </c>
      <c r="P17" s="2">
        <v>116</v>
      </c>
      <c r="Q17" s="2">
        <v>117.4</v>
      </c>
      <c r="R17" s="2">
        <v>114.6</v>
      </c>
      <c r="S17" s="2">
        <v>113.9</v>
      </c>
      <c r="T17" s="2">
        <v>112.5</v>
      </c>
      <c r="U17" s="2">
        <v>113.6</v>
      </c>
      <c r="V17" s="2">
        <v>111.5</v>
      </c>
      <c r="W17" s="2">
        <v>111.2</v>
      </c>
      <c r="X17" s="2">
        <v>110.9</v>
      </c>
      <c r="Y17" s="2">
        <v>112.7</v>
      </c>
      <c r="Z17" s="2">
        <v>109</v>
      </c>
      <c r="AA17" s="2">
        <v>111.5</v>
      </c>
      <c r="AB17" s="2">
        <v>115.1</v>
      </c>
      <c r="AC17" s="9">
        <v>41730</v>
      </c>
      <c r="AD17" s="11">
        <f t="shared" si="0"/>
        <v>8.482563619227145</v>
      </c>
    </row>
    <row r="18" spans="1:30" hidden="1" x14ac:dyDescent="0.35">
      <c r="A18" s="5" t="s">
        <v>34</v>
      </c>
      <c r="B18" s="3">
        <v>2014</v>
      </c>
      <c r="C18" s="3" t="s">
        <v>38</v>
      </c>
      <c r="D18" s="3">
        <v>121.1</v>
      </c>
      <c r="E18" s="3">
        <v>121.6</v>
      </c>
      <c r="F18" s="3">
        <v>115.9</v>
      </c>
      <c r="G18" s="3">
        <v>118.4</v>
      </c>
      <c r="H18" s="3">
        <v>107.7</v>
      </c>
      <c r="I18" s="3">
        <v>127.7</v>
      </c>
      <c r="J18" s="3">
        <v>125</v>
      </c>
      <c r="K18" s="3">
        <v>111.9</v>
      </c>
      <c r="L18" s="3">
        <v>102.8</v>
      </c>
      <c r="M18" s="3">
        <v>113.4</v>
      </c>
      <c r="N18" s="3">
        <v>113.7</v>
      </c>
      <c r="O18" s="3">
        <v>120.4</v>
      </c>
      <c r="P18" s="3">
        <v>116.8</v>
      </c>
      <c r="Q18" s="3">
        <v>118</v>
      </c>
      <c r="R18" s="3">
        <v>115.2</v>
      </c>
      <c r="S18" s="3">
        <v>114.3</v>
      </c>
      <c r="T18" s="3">
        <v>112.5</v>
      </c>
      <c r="U18" s="3">
        <v>114.1</v>
      </c>
      <c r="V18" s="3">
        <v>111.8</v>
      </c>
      <c r="W18" s="3">
        <v>111.3</v>
      </c>
      <c r="X18" s="3">
        <v>111.2</v>
      </c>
      <c r="Y18" s="3">
        <v>113</v>
      </c>
      <c r="Z18" s="3">
        <v>109.1</v>
      </c>
      <c r="AA18" s="3">
        <v>111.8</v>
      </c>
      <c r="AB18" s="3">
        <v>115.8</v>
      </c>
      <c r="AC18" s="8">
        <v>41760</v>
      </c>
      <c r="AD18" s="11">
        <f t="shared" si="0"/>
        <v>8.3255378858746418</v>
      </c>
    </row>
    <row r="19" spans="1:30" hidden="1" x14ac:dyDescent="0.35">
      <c r="A19" s="4" t="s">
        <v>34</v>
      </c>
      <c r="B19" s="2">
        <v>2014</v>
      </c>
      <c r="C19" s="2" t="s">
        <v>39</v>
      </c>
      <c r="D19" s="2">
        <v>121.5</v>
      </c>
      <c r="E19" s="2">
        <v>123.1</v>
      </c>
      <c r="F19" s="2">
        <v>115.8</v>
      </c>
      <c r="G19" s="2">
        <v>119.7</v>
      </c>
      <c r="H19" s="2">
        <v>107.8</v>
      </c>
      <c r="I19" s="2">
        <v>128.30000000000001</v>
      </c>
      <c r="J19" s="2">
        <v>132.1</v>
      </c>
      <c r="K19" s="2">
        <v>112.4</v>
      </c>
      <c r="L19" s="2">
        <v>102.9</v>
      </c>
      <c r="M19" s="2">
        <v>114.3</v>
      </c>
      <c r="N19" s="2">
        <v>114.2</v>
      </c>
      <c r="O19" s="2">
        <v>121.2</v>
      </c>
      <c r="P19" s="2">
        <v>117.8</v>
      </c>
      <c r="Q19" s="2">
        <v>118.8</v>
      </c>
      <c r="R19" s="2">
        <v>115.6</v>
      </c>
      <c r="S19" s="2">
        <v>113.9</v>
      </c>
      <c r="T19" s="2">
        <v>113.2</v>
      </c>
      <c r="U19" s="2">
        <v>114.6</v>
      </c>
      <c r="V19" s="2">
        <v>112.3</v>
      </c>
      <c r="W19" s="2">
        <v>111.8</v>
      </c>
      <c r="X19" s="2">
        <v>111.6</v>
      </c>
      <c r="Y19" s="2">
        <v>114.8</v>
      </c>
      <c r="Z19" s="2">
        <v>108.3</v>
      </c>
      <c r="AA19" s="2">
        <v>112.3</v>
      </c>
      <c r="AB19" s="2">
        <v>116.7</v>
      </c>
      <c r="AC19" s="9">
        <v>41791</v>
      </c>
      <c r="AD19" s="11">
        <f t="shared" si="0"/>
        <v>6.7703568161024759</v>
      </c>
    </row>
    <row r="20" spans="1:30" hidden="1" x14ac:dyDescent="0.35">
      <c r="A20" s="5" t="s">
        <v>34</v>
      </c>
      <c r="B20" s="3">
        <v>2014</v>
      </c>
      <c r="C20" s="3" t="s">
        <v>40</v>
      </c>
      <c r="D20" s="3">
        <v>122.4</v>
      </c>
      <c r="E20" s="3">
        <v>123.9</v>
      </c>
      <c r="F20" s="3">
        <v>117.8</v>
      </c>
      <c r="G20" s="3">
        <v>121</v>
      </c>
      <c r="H20" s="3">
        <v>107.9</v>
      </c>
      <c r="I20" s="3">
        <v>131.19999999999999</v>
      </c>
      <c r="J20" s="3">
        <v>157.69999999999999</v>
      </c>
      <c r="K20" s="3">
        <v>113.2</v>
      </c>
      <c r="L20" s="3">
        <v>104.1</v>
      </c>
      <c r="M20" s="3">
        <v>115.5</v>
      </c>
      <c r="N20" s="3">
        <v>114.8</v>
      </c>
      <c r="O20" s="3">
        <v>122.1</v>
      </c>
      <c r="P20" s="3">
        <v>118.8</v>
      </c>
      <c r="Q20" s="3">
        <v>119.6</v>
      </c>
      <c r="R20" s="3">
        <v>116.3</v>
      </c>
      <c r="S20" s="3">
        <v>114.8</v>
      </c>
      <c r="T20" s="3">
        <v>113.9</v>
      </c>
      <c r="U20" s="3">
        <v>115.2</v>
      </c>
      <c r="V20" s="3">
        <v>112.7</v>
      </c>
      <c r="W20" s="3">
        <v>113.1</v>
      </c>
      <c r="X20" s="3">
        <v>112.1</v>
      </c>
      <c r="Y20" s="3">
        <v>116.8</v>
      </c>
      <c r="Z20" s="3">
        <v>109.2</v>
      </c>
      <c r="AA20" s="3">
        <v>113.3</v>
      </c>
      <c r="AB20" s="3">
        <v>119.2</v>
      </c>
      <c r="AC20" s="8">
        <v>41821</v>
      </c>
      <c r="AD20" s="11">
        <f t="shared" si="0"/>
        <v>7.3873873873873901</v>
      </c>
    </row>
    <row r="21" spans="1:30" hidden="1" x14ac:dyDescent="0.35">
      <c r="A21" s="4" t="s">
        <v>34</v>
      </c>
      <c r="B21" s="2">
        <v>2014</v>
      </c>
      <c r="C21" s="2" t="s">
        <v>41</v>
      </c>
      <c r="D21" s="2">
        <v>122.7</v>
      </c>
      <c r="E21" s="2">
        <v>124.4</v>
      </c>
      <c r="F21" s="2">
        <v>117.3</v>
      </c>
      <c r="G21" s="2">
        <v>122</v>
      </c>
      <c r="H21" s="2">
        <v>108</v>
      </c>
      <c r="I21" s="2">
        <v>131.1</v>
      </c>
      <c r="J21" s="2">
        <v>168.2</v>
      </c>
      <c r="K21" s="2">
        <v>114.5</v>
      </c>
      <c r="L21" s="2">
        <v>104.3</v>
      </c>
      <c r="M21" s="2">
        <v>117.1</v>
      </c>
      <c r="N21" s="2">
        <v>115.2</v>
      </c>
      <c r="O21" s="2">
        <v>123.1</v>
      </c>
      <c r="P21" s="2">
        <v>119.9</v>
      </c>
      <c r="Q21" s="2">
        <v>120</v>
      </c>
      <c r="R21" s="2">
        <v>116.8</v>
      </c>
      <c r="S21" s="2">
        <v>115.5</v>
      </c>
      <c r="T21" s="2">
        <v>114</v>
      </c>
      <c r="U21" s="2">
        <v>115.6</v>
      </c>
      <c r="V21" s="2">
        <v>113.3</v>
      </c>
      <c r="W21" s="2">
        <v>112.8</v>
      </c>
      <c r="X21" s="2">
        <v>112.6</v>
      </c>
      <c r="Y21" s="2">
        <v>118</v>
      </c>
      <c r="Z21" s="2">
        <v>109.9</v>
      </c>
      <c r="AA21" s="2">
        <v>113.7</v>
      </c>
      <c r="AB21" s="2">
        <v>120.3</v>
      </c>
      <c r="AC21" s="9">
        <v>41852</v>
      </c>
      <c r="AD21" s="11">
        <f t="shared" si="0"/>
        <v>7.0284697508896725</v>
      </c>
    </row>
    <row r="22" spans="1:30" hidden="1" x14ac:dyDescent="0.35">
      <c r="A22" s="5" t="s">
        <v>34</v>
      </c>
      <c r="B22" s="3">
        <v>2014</v>
      </c>
      <c r="C22" s="3" t="s">
        <v>42</v>
      </c>
      <c r="D22" s="3">
        <v>122.9</v>
      </c>
      <c r="E22" s="3">
        <v>123.5</v>
      </c>
      <c r="F22" s="3">
        <v>117.3</v>
      </c>
      <c r="G22" s="3">
        <v>122.7</v>
      </c>
      <c r="H22" s="3">
        <v>107.9</v>
      </c>
      <c r="I22" s="3">
        <v>127.3</v>
      </c>
      <c r="J22" s="3">
        <v>162.1</v>
      </c>
      <c r="K22" s="3">
        <v>115.6</v>
      </c>
      <c r="L22" s="3">
        <v>103.8</v>
      </c>
      <c r="M22" s="3">
        <v>117.6</v>
      </c>
      <c r="N22" s="3">
        <v>115.8</v>
      </c>
      <c r="O22" s="3">
        <v>123.8</v>
      </c>
      <c r="P22" s="3">
        <v>120.8</v>
      </c>
      <c r="Q22" s="3">
        <v>120.7</v>
      </c>
      <c r="R22" s="3">
        <v>117.2</v>
      </c>
      <c r="S22" s="3">
        <v>116.1</v>
      </c>
      <c r="T22" s="3">
        <v>114.3</v>
      </c>
      <c r="U22" s="3">
        <v>116.1</v>
      </c>
      <c r="V22" s="3">
        <v>113.7</v>
      </c>
      <c r="W22" s="3">
        <v>112</v>
      </c>
      <c r="X22" s="3">
        <v>113.1</v>
      </c>
      <c r="Y22" s="3">
        <v>118.6</v>
      </c>
      <c r="Z22" s="3">
        <v>109.5</v>
      </c>
      <c r="AA22" s="3">
        <v>113.7</v>
      </c>
      <c r="AB22" s="3">
        <v>120.1</v>
      </c>
      <c r="AC22" s="8">
        <v>41883</v>
      </c>
      <c r="AD22" s="11">
        <f t="shared" si="0"/>
        <v>5.6288478452066766</v>
      </c>
    </row>
    <row r="23" spans="1:30" hidden="1" x14ac:dyDescent="0.35">
      <c r="A23" s="4" t="s">
        <v>34</v>
      </c>
      <c r="B23" s="2">
        <v>2014</v>
      </c>
      <c r="C23" s="2" t="s">
        <v>43</v>
      </c>
      <c r="D23" s="2">
        <v>123.2</v>
      </c>
      <c r="E23" s="2">
        <v>123.8</v>
      </c>
      <c r="F23" s="2">
        <v>118.1</v>
      </c>
      <c r="G23" s="2">
        <v>123.2</v>
      </c>
      <c r="H23" s="2">
        <v>107.9</v>
      </c>
      <c r="I23" s="2">
        <v>126.4</v>
      </c>
      <c r="J23" s="2">
        <v>156.80000000000001</v>
      </c>
      <c r="K23" s="2">
        <v>116.1</v>
      </c>
      <c r="L23" s="2">
        <v>103.1</v>
      </c>
      <c r="M23" s="2">
        <v>118.1</v>
      </c>
      <c r="N23" s="2">
        <v>116.1</v>
      </c>
      <c r="O23" s="2">
        <v>124.5</v>
      </c>
      <c r="P23" s="2">
        <v>121.1</v>
      </c>
      <c r="Q23" s="2">
        <v>121.5</v>
      </c>
      <c r="R23" s="2">
        <v>118.1</v>
      </c>
      <c r="S23" s="2">
        <v>116.7</v>
      </c>
      <c r="T23" s="2">
        <v>114.7</v>
      </c>
      <c r="U23" s="2">
        <v>116.7</v>
      </c>
      <c r="V23" s="2">
        <v>114.3</v>
      </c>
      <c r="W23" s="2">
        <v>111.8</v>
      </c>
      <c r="X23" s="2">
        <v>113.3</v>
      </c>
      <c r="Y23" s="2">
        <v>118.8</v>
      </c>
      <c r="Z23" s="2">
        <v>109.6</v>
      </c>
      <c r="AA23" s="2">
        <v>113.9</v>
      </c>
      <c r="AB23" s="2">
        <v>120.1</v>
      </c>
      <c r="AC23" s="9">
        <v>41913</v>
      </c>
      <c r="AD23" s="11">
        <f t="shared" si="0"/>
        <v>4.6167247386759556</v>
      </c>
    </row>
    <row r="24" spans="1:30" hidden="1" x14ac:dyDescent="0.35">
      <c r="A24" s="5" t="s">
        <v>34</v>
      </c>
      <c r="B24" s="3">
        <v>2014</v>
      </c>
      <c r="C24" s="3" t="s">
        <v>45</v>
      </c>
      <c r="D24" s="3">
        <v>123.3</v>
      </c>
      <c r="E24" s="3">
        <v>123.7</v>
      </c>
      <c r="F24" s="3">
        <v>121</v>
      </c>
      <c r="G24" s="3">
        <v>124.2</v>
      </c>
      <c r="H24" s="3">
        <v>107.8</v>
      </c>
      <c r="I24" s="3">
        <v>125.7</v>
      </c>
      <c r="J24" s="3">
        <v>152.4</v>
      </c>
      <c r="K24" s="3">
        <v>117.2</v>
      </c>
      <c r="L24" s="3">
        <v>102.1</v>
      </c>
      <c r="M24" s="3">
        <v>118.7</v>
      </c>
      <c r="N24" s="3">
        <v>116.4</v>
      </c>
      <c r="O24" s="3">
        <v>125.6</v>
      </c>
      <c r="P24" s="3">
        <v>122.1</v>
      </c>
      <c r="Q24" s="3">
        <v>122.1</v>
      </c>
      <c r="R24" s="3">
        <v>118.4</v>
      </c>
      <c r="S24" s="3">
        <v>117.1</v>
      </c>
      <c r="T24" s="3">
        <v>115.5</v>
      </c>
      <c r="U24" s="3">
        <v>117.3</v>
      </c>
      <c r="V24" s="3">
        <v>114.8</v>
      </c>
      <c r="W24" s="3">
        <v>110.8</v>
      </c>
      <c r="X24" s="3">
        <v>113.7</v>
      </c>
      <c r="Y24" s="3">
        <v>119</v>
      </c>
      <c r="Z24" s="3">
        <v>109.1</v>
      </c>
      <c r="AA24" s="3">
        <v>113.8</v>
      </c>
      <c r="AB24" s="3">
        <v>120.1</v>
      </c>
      <c r="AC24" s="8">
        <v>41944</v>
      </c>
      <c r="AD24" s="11">
        <f t="shared" si="0"/>
        <v>3.2674118658641422</v>
      </c>
    </row>
    <row r="25" spans="1:30" hidden="1" x14ac:dyDescent="0.35">
      <c r="A25" s="4" t="s">
        <v>34</v>
      </c>
      <c r="B25" s="2">
        <v>2014</v>
      </c>
      <c r="C25" s="2" t="s">
        <v>46</v>
      </c>
      <c r="D25" s="2">
        <v>122.9</v>
      </c>
      <c r="E25" s="2">
        <v>123.2</v>
      </c>
      <c r="F25" s="2">
        <v>123.5</v>
      </c>
      <c r="G25" s="2">
        <v>124.5</v>
      </c>
      <c r="H25" s="2">
        <v>107.6</v>
      </c>
      <c r="I25" s="2">
        <v>125.7</v>
      </c>
      <c r="J25" s="2">
        <v>140.5</v>
      </c>
      <c r="K25" s="2">
        <v>117.6</v>
      </c>
      <c r="L25" s="2">
        <v>100.6</v>
      </c>
      <c r="M25" s="2">
        <v>119.1</v>
      </c>
      <c r="N25" s="2">
        <v>116.8</v>
      </c>
      <c r="O25" s="2">
        <v>126.1</v>
      </c>
      <c r="P25" s="2">
        <v>123</v>
      </c>
      <c r="Q25" s="2">
        <v>122.6</v>
      </c>
      <c r="R25" s="2">
        <v>118.6</v>
      </c>
      <c r="S25" s="2">
        <v>116.5</v>
      </c>
      <c r="T25" s="2">
        <v>115.7</v>
      </c>
      <c r="U25" s="2">
        <v>117.5</v>
      </c>
      <c r="V25" s="2">
        <v>115.1</v>
      </c>
      <c r="W25" s="2">
        <v>110.1</v>
      </c>
      <c r="X25" s="2">
        <v>113.9</v>
      </c>
      <c r="Y25" s="2">
        <v>119.5</v>
      </c>
      <c r="Z25" s="2">
        <v>109.8</v>
      </c>
      <c r="AA25" s="2">
        <v>113.8</v>
      </c>
      <c r="AB25" s="2">
        <v>119.4</v>
      </c>
      <c r="AC25" s="9">
        <v>41974</v>
      </c>
      <c r="AD25" s="11">
        <f t="shared" si="0"/>
        <v>4.2794759825327562</v>
      </c>
    </row>
    <row r="26" spans="1:30" hidden="1" x14ac:dyDescent="0.35">
      <c r="A26" s="5" t="s">
        <v>34</v>
      </c>
      <c r="B26" s="3">
        <v>2015</v>
      </c>
      <c r="C26" s="3" t="s">
        <v>31</v>
      </c>
      <c r="D26" s="3">
        <v>123.4</v>
      </c>
      <c r="E26" s="3">
        <v>123.9</v>
      </c>
      <c r="F26" s="3">
        <v>123.8</v>
      </c>
      <c r="G26" s="3">
        <v>125</v>
      </c>
      <c r="H26" s="3">
        <v>108.5</v>
      </c>
      <c r="I26" s="3">
        <v>126.2</v>
      </c>
      <c r="J26" s="3">
        <v>133</v>
      </c>
      <c r="K26" s="3">
        <v>119.1</v>
      </c>
      <c r="L26" s="3">
        <v>99</v>
      </c>
      <c r="M26" s="3">
        <v>120.3</v>
      </c>
      <c r="N26" s="3">
        <v>117.3</v>
      </c>
      <c r="O26" s="3">
        <v>126.7</v>
      </c>
      <c r="P26" s="3">
        <v>124</v>
      </c>
      <c r="Q26" s="3">
        <v>123.1</v>
      </c>
      <c r="R26" s="3">
        <v>119.3</v>
      </c>
      <c r="S26" s="3">
        <v>117.3</v>
      </c>
      <c r="T26" s="3">
        <v>116.5</v>
      </c>
      <c r="U26" s="3">
        <v>118.1</v>
      </c>
      <c r="V26" s="3">
        <v>115.5</v>
      </c>
      <c r="W26" s="3">
        <v>109.4</v>
      </c>
      <c r="X26" s="3">
        <v>114.3</v>
      </c>
      <c r="Y26" s="3">
        <v>119.7</v>
      </c>
      <c r="Z26" s="3">
        <v>110.7</v>
      </c>
      <c r="AA26" s="3">
        <v>114</v>
      </c>
      <c r="AB26" s="3">
        <v>119.5</v>
      </c>
      <c r="AC26" s="8">
        <v>42005</v>
      </c>
      <c r="AD26" s="11">
        <f t="shared" si="0"/>
        <v>5.1936619718309913</v>
      </c>
    </row>
    <row r="27" spans="1:30" hidden="1" x14ac:dyDescent="0.35">
      <c r="A27" s="4" t="s">
        <v>34</v>
      </c>
      <c r="B27" s="2">
        <v>2015</v>
      </c>
      <c r="C27" s="2" t="s">
        <v>35</v>
      </c>
      <c r="D27" s="2">
        <v>123.7</v>
      </c>
      <c r="E27" s="2">
        <v>125.1</v>
      </c>
      <c r="F27" s="2">
        <v>121.1</v>
      </c>
      <c r="G27" s="2">
        <v>125.7</v>
      </c>
      <c r="H27" s="2">
        <v>109.1</v>
      </c>
      <c r="I27" s="2">
        <v>125.8</v>
      </c>
      <c r="J27" s="2">
        <v>129.4</v>
      </c>
      <c r="K27" s="2">
        <v>120.9</v>
      </c>
      <c r="L27" s="2">
        <v>98.3</v>
      </c>
      <c r="M27" s="2">
        <v>121.6</v>
      </c>
      <c r="N27" s="2">
        <v>118</v>
      </c>
      <c r="O27" s="2">
        <v>127.6</v>
      </c>
      <c r="P27" s="2">
        <v>125.2</v>
      </c>
      <c r="Q27" s="2">
        <v>123.8</v>
      </c>
      <c r="R27" s="2">
        <v>120.1</v>
      </c>
      <c r="S27" s="2">
        <v>118.1</v>
      </c>
      <c r="T27" s="2">
        <v>117.7</v>
      </c>
      <c r="U27" s="2">
        <v>118.7</v>
      </c>
      <c r="V27" s="2">
        <v>116.3</v>
      </c>
      <c r="W27" s="2">
        <v>108.7</v>
      </c>
      <c r="X27" s="2">
        <v>114.9</v>
      </c>
      <c r="Y27" s="2">
        <v>119.7</v>
      </c>
      <c r="Z27" s="2">
        <v>111.2</v>
      </c>
      <c r="AA27" s="2">
        <v>114.1</v>
      </c>
      <c r="AB27" s="2">
        <v>119.7</v>
      </c>
      <c r="AC27" s="9">
        <v>42036</v>
      </c>
      <c r="AD27" s="11">
        <f t="shared" si="0"/>
        <v>5.369718309859163</v>
      </c>
    </row>
    <row r="28" spans="1:30" hidden="1" x14ac:dyDescent="0.35">
      <c r="A28" s="5" t="s">
        <v>34</v>
      </c>
      <c r="B28" s="3">
        <v>2015</v>
      </c>
      <c r="C28" s="3" t="s">
        <v>36</v>
      </c>
      <c r="D28" s="3">
        <v>123.5</v>
      </c>
      <c r="E28" s="3">
        <v>125.4</v>
      </c>
      <c r="F28" s="3">
        <v>116.8</v>
      </c>
      <c r="G28" s="3">
        <v>126</v>
      </c>
      <c r="H28" s="3">
        <v>109.2</v>
      </c>
      <c r="I28" s="3">
        <v>127.6</v>
      </c>
      <c r="J28" s="3">
        <v>129.19999999999999</v>
      </c>
      <c r="K28" s="3">
        <v>122.4</v>
      </c>
      <c r="L28" s="3">
        <v>97</v>
      </c>
      <c r="M28" s="3">
        <v>122.1</v>
      </c>
      <c r="N28" s="3">
        <v>118.1</v>
      </c>
      <c r="O28" s="3">
        <v>128.4</v>
      </c>
      <c r="P28" s="3">
        <v>125.8</v>
      </c>
      <c r="Q28" s="3">
        <v>124.3</v>
      </c>
      <c r="R28" s="3">
        <v>120.4</v>
      </c>
      <c r="S28" s="3">
        <v>118.6</v>
      </c>
      <c r="T28" s="3">
        <v>118.3</v>
      </c>
      <c r="U28" s="3">
        <v>119.2</v>
      </c>
      <c r="V28" s="3">
        <v>116.7</v>
      </c>
      <c r="W28" s="3">
        <v>109.9</v>
      </c>
      <c r="X28" s="3">
        <v>115.4</v>
      </c>
      <c r="Y28" s="3">
        <v>120.1</v>
      </c>
      <c r="Z28" s="3">
        <v>111</v>
      </c>
      <c r="AA28" s="3">
        <v>114.7</v>
      </c>
      <c r="AB28" s="3">
        <v>120.2</v>
      </c>
      <c r="AC28" s="8">
        <v>42064</v>
      </c>
      <c r="AD28" s="11">
        <f t="shared" si="0"/>
        <v>5.2539404553415059</v>
      </c>
    </row>
    <row r="29" spans="1:30" hidden="1" x14ac:dyDescent="0.35">
      <c r="A29" s="4" t="s">
        <v>34</v>
      </c>
      <c r="B29" s="2">
        <v>2015</v>
      </c>
      <c r="C29" s="2" t="s">
        <v>37</v>
      </c>
      <c r="D29" s="2">
        <v>123.5</v>
      </c>
      <c r="E29" s="2">
        <v>126.4</v>
      </c>
      <c r="F29" s="2">
        <v>114.4</v>
      </c>
      <c r="G29" s="2">
        <v>126.6</v>
      </c>
      <c r="H29" s="2">
        <v>109.2</v>
      </c>
      <c r="I29" s="2">
        <v>132.5</v>
      </c>
      <c r="J29" s="2">
        <v>128.6</v>
      </c>
      <c r="K29" s="2">
        <v>124.8</v>
      </c>
      <c r="L29" s="2">
        <v>95.7</v>
      </c>
      <c r="M29" s="2">
        <v>122.4</v>
      </c>
      <c r="N29" s="2">
        <v>118.5</v>
      </c>
      <c r="O29" s="2">
        <v>129.1</v>
      </c>
      <c r="P29" s="2">
        <v>126.9</v>
      </c>
      <c r="Q29" s="2">
        <v>124.7</v>
      </c>
      <c r="R29" s="2">
        <v>120.8</v>
      </c>
      <c r="S29" s="2">
        <v>119.2</v>
      </c>
      <c r="T29" s="2">
        <v>118.7</v>
      </c>
      <c r="U29" s="2">
        <v>119.7</v>
      </c>
      <c r="V29" s="2">
        <v>117.1</v>
      </c>
      <c r="W29" s="2">
        <v>110.1</v>
      </c>
      <c r="X29" s="2">
        <v>115.9</v>
      </c>
      <c r="Y29" s="2">
        <v>121</v>
      </c>
      <c r="Z29" s="2">
        <v>111.7</v>
      </c>
      <c r="AA29" s="2">
        <v>115.1</v>
      </c>
      <c r="AB29" s="2">
        <v>120.7</v>
      </c>
      <c r="AC29" s="9">
        <v>42095</v>
      </c>
      <c r="AD29" s="11">
        <f t="shared" si="0"/>
        <v>4.8653344917463155</v>
      </c>
    </row>
    <row r="30" spans="1:30" hidden="1" x14ac:dyDescent="0.35">
      <c r="A30" s="5" t="s">
        <v>34</v>
      </c>
      <c r="B30" s="3">
        <v>2015</v>
      </c>
      <c r="C30" s="3" t="s">
        <v>38</v>
      </c>
      <c r="D30" s="3">
        <v>123.6</v>
      </c>
      <c r="E30" s="3">
        <v>128</v>
      </c>
      <c r="F30" s="3">
        <v>115</v>
      </c>
      <c r="G30" s="3">
        <v>127.3</v>
      </c>
      <c r="H30" s="3">
        <v>109.8</v>
      </c>
      <c r="I30" s="3">
        <v>132.6</v>
      </c>
      <c r="J30" s="3">
        <v>130.9</v>
      </c>
      <c r="K30" s="3">
        <v>130.5</v>
      </c>
      <c r="L30" s="3">
        <v>95.3</v>
      </c>
      <c r="M30" s="3">
        <v>123.4</v>
      </c>
      <c r="N30" s="3">
        <v>119.2</v>
      </c>
      <c r="O30" s="3">
        <v>129.80000000000001</v>
      </c>
      <c r="P30" s="3">
        <v>127.9</v>
      </c>
      <c r="Q30" s="3">
        <v>125.4</v>
      </c>
      <c r="R30" s="3">
        <v>121.3</v>
      </c>
      <c r="S30" s="3">
        <v>119.6</v>
      </c>
      <c r="T30" s="3">
        <v>119.2</v>
      </c>
      <c r="U30" s="3">
        <v>120.2</v>
      </c>
      <c r="V30" s="3">
        <v>117.7</v>
      </c>
      <c r="W30" s="3">
        <v>112</v>
      </c>
      <c r="X30" s="3">
        <v>116.3</v>
      </c>
      <c r="Y30" s="3">
        <v>121.4</v>
      </c>
      <c r="Z30" s="3">
        <v>112.3</v>
      </c>
      <c r="AA30" s="3">
        <v>116.1</v>
      </c>
      <c r="AB30" s="3">
        <v>121.6</v>
      </c>
      <c r="AC30" s="8">
        <v>42125</v>
      </c>
      <c r="AD30" s="11">
        <f t="shared" si="0"/>
        <v>5.0086355785837631</v>
      </c>
    </row>
    <row r="31" spans="1:30" hidden="1" x14ac:dyDescent="0.35">
      <c r="A31" s="4" t="s">
        <v>34</v>
      </c>
      <c r="B31" s="2">
        <v>2015</v>
      </c>
      <c r="C31" s="2" t="s">
        <v>39</v>
      </c>
      <c r="D31" s="2">
        <v>123.9</v>
      </c>
      <c r="E31" s="2">
        <v>131.80000000000001</v>
      </c>
      <c r="F31" s="2">
        <v>121.6</v>
      </c>
      <c r="G31" s="2">
        <v>128.19999999999999</v>
      </c>
      <c r="H31" s="2">
        <v>111.1</v>
      </c>
      <c r="I31" s="2">
        <v>132.80000000000001</v>
      </c>
      <c r="J31" s="2">
        <v>139.1</v>
      </c>
      <c r="K31" s="2">
        <v>137.4</v>
      </c>
      <c r="L31" s="2">
        <v>94.1</v>
      </c>
      <c r="M31" s="2">
        <v>125.5</v>
      </c>
      <c r="N31" s="2">
        <v>119.8</v>
      </c>
      <c r="O31" s="2">
        <v>130.9</v>
      </c>
      <c r="P31" s="2">
        <v>129.19999999999999</v>
      </c>
      <c r="Q31" s="2">
        <v>126.4</v>
      </c>
      <c r="R31" s="2">
        <v>122</v>
      </c>
      <c r="S31" s="2">
        <v>119</v>
      </c>
      <c r="T31" s="2">
        <v>119.8</v>
      </c>
      <c r="U31" s="2">
        <v>121.1</v>
      </c>
      <c r="V31" s="2">
        <v>118.5</v>
      </c>
      <c r="W31" s="2">
        <v>112.9</v>
      </c>
      <c r="X31" s="2">
        <v>116.9</v>
      </c>
      <c r="Y31" s="2">
        <v>123.1</v>
      </c>
      <c r="Z31" s="2">
        <v>112.8</v>
      </c>
      <c r="AA31" s="2">
        <v>117</v>
      </c>
      <c r="AB31" s="2">
        <v>123</v>
      </c>
      <c r="AC31" s="9">
        <v>42156</v>
      </c>
      <c r="AD31" s="11">
        <f t="shared" si="0"/>
        <v>5.3984575835475548</v>
      </c>
    </row>
    <row r="32" spans="1:30" hidden="1" x14ac:dyDescent="0.35">
      <c r="A32" s="5" t="s">
        <v>34</v>
      </c>
      <c r="B32" s="3">
        <v>2015</v>
      </c>
      <c r="C32" s="3" t="s">
        <v>40</v>
      </c>
      <c r="D32" s="3">
        <v>123.7</v>
      </c>
      <c r="E32" s="3">
        <v>132.5</v>
      </c>
      <c r="F32" s="3">
        <v>121</v>
      </c>
      <c r="G32" s="3">
        <v>128.30000000000001</v>
      </c>
      <c r="H32" s="3">
        <v>110.9</v>
      </c>
      <c r="I32" s="3">
        <v>133.1</v>
      </c>
      <c r="J32" s="3">
        <v>145.1</v>
      </c>
      <c r="K32" s="3">
        <v>139.1</v>
      </c>
      <c r="L32" s="3">
        <v>91.3</v>
      </c>
      <c r="M32" s="3">
        <v>126.1</v>
      </c>
      <c r="N32" s="3">
        <v>119.9</v>
      </c>
      <c r="O32" s="3">
        <v>131.4</v>
      </c>
      <c r="P32" s="3">
        <v>130.4</v>
      </c>
      <c r="Q32" s="3">
        <v>126.7</v>
      </c>
      <c r="R32" s="3">
        <v>122.3</v>
      </c>
      <c r="S32" s="3">
        <v>119.9</v>
      </c>
      <c r="T32" s="3">
        <v>120.1</v>
      </c>
      <c r="U32" s="3">
        <v>121.3</v>
      </c>
      <c r="V32" s="3">
        <v>119</v>
      </c>
      <c r="W32" s="3">
        <v>112.7</v>
      </c>
      <c r="X32" s="3">
        <v>117.2</v>
      </c>
      <c r="Y32" s="3">
        <v>124.4</v>
      </c>
      <c r="Z32" s="3">
        <v>112.3</v>
      </c>
      <c r="AA32" s="3">
        <v>117.2</v>
      </c>
      <c r="AB32" s="3">
        <v>123.6</v>
      </c>
      <c r="AC32" s="8">
        <v>42186</v>
      </c>
      <c r="AD32" s="11">
        <f t="shared" si="0"/>
        <v>3.6912751677852276</v>
      </c>
    </row>
    <row r="33" spans="1:30" hidden="1" x14ac:dyDescent="0.35">
      <c r="A33" s="4" t="s">
        <v>34</v>
      </c>
      <c r="B33" s="2">
        <v>2015</v>
      </c>
      <c r="C33" s="2" t="s">
        <v>41</v>
      </c>
      <c r="D33" s="2">
        <v>124.2</v>
      </c>
      <c r="E33" s="2">
        <v>131.4</v>
      </c>
      <c r="F33" s="2">
        <v>120.1</v>
      </c>
      <c r="G33" s="2">
        <v>128.5</v>
      </c>
      <c r="H33" s="2">
        <v>111.4</v>
      </c>
      <c r="I33" s="2">
        <v>132.30000000000001</v>
      </c>
      <c r="J33" s="2">
        <v>157.6</v>
      </c>
      <c r="K33" s="2">
        <v>144</v>
      </c>
      <c r="L33" s="2">
        <v>90.5</v>
      </c>
      <c r="M33" s="2">
        <v>126.8</v>
      </c>
      <c r="N33" s="2">
        <v>120.4</v>
      </c>
      <c r="O33" s="2">
        <v>132.1</v>
      </c>
      <c r="P33" s="2">
        <v>131.19999999999999</v>
      </c>
      <c r="Q33" s="2">
        <v>127.2</v>
      </c>
      <c r="R33" s="2">
        <v>122.9</v>
      </c>
      <c r="S33" s="2">
        <v>120.9</v>
      </c>
      <c r="T33" s="2">
        <v>120.6</v>
      </c>
      <c r="U33" s="2">
        <v>122</v>
      </c>
      <c r="V33" s="2">
        <v>119.4</v>
      </c>
      <c r="W33" s="2">
        <v>111.7</v>
      </c>
      <c r="X33" s="2">
        <v>117.8</v>
      </c>
      <c r="Y33" s="2">
        <v>125.1</v>
      </c>
      <c r="Z33" s="2">
        <v>112.3</v>
      </c>
      <c r="AA33" s="2">
        <v>117.2</v>
      </c>
      <c r="AB33" s="2">
        <v>124.8</v>
      </c>
      <c r="AC33" s="9">
        <v>42217</v>
      </c>
      <c r="AD33" s="11">
        <f t="shared" si="0"/>
        <v>3.7406483790523692</v>
      </c>
    </row>
    <row r="34" spans="1:30" hidden="1" x14ac:dyDescent="0.35">
      <c r="A34" s="5" t="s">
        <v>34</v>
      </c>
      <c r="B34" s="3">
        <v>2015</v>
      </c>
      <c r="C34" s="3" t="s">
        <v>42</v>
      </c>
      <c r="D34" s="3">
        <v>124.6</v>
      </c>
      <c r="E34" s="3">
        <v>130.4</v>
      </c>
      <c r="F34" s="3">
        <v>118.7</v>
      </c>
      <c r="G34" s="3">
        <v>128.9</v>
      </c>
      <c r="H34" s="3">
        <v>111.9</v>
      </c>
      <c r="I34" s="3">
        <v>128.4</v>
      </c>
      <c r="J34" s="3">
        <v>162.19999999999999</v>
      </c>
      <c r="K34" s="3">
        <v>150</v>
      </c>
      <c r="L34" s="3">
        <v>90.4</v>
      </c>
      <c r="M34" s="3">
        <v>128.4</v>
      </c>
      <c r="N34" s="3">
        <v>120.7</v>
      </c>
      <c r="O34" s="3">
        <v>132.5</v>
      </c>
      <c r="P34" s="3">
        <v>132</v>
      </c>
      <c r="Q34" s="3">
        <v>127.9</v>
      </c>
      <c r="R34" s="3">
        <v>123.4</v>
      </c>
      <c r="S34" s="3">
        <v>121.6</v>
      </c>
      <c r="T34" s="3">
        <v>120.4</v>
      </c>
      <c r="U34" s="3">
        <v>122.6</v>
      </c>
      <c r="V34" s="3">
        <v>119.8</v>
      </c>
      <c r="W34" s="3">
        <v>111.3</v>
      </c>
      <c r="X34" s="3">
        <v>118.3</v>
      </c>
      <c r="Y34" s="3">
        <v>125.7</v>
      </c>
      <c r="Z34" s="3">
        <v>113.4</v>
      </c>
      <c r="AA34" s="3">
        <v>117.5</v>
      </c>
      <c r="AB34" s="3">
        <v>125.4</v>
      </c>
      <c r="AC34" s="8">
        <v>42248</v>
      </c>
      <c r="AD34" s="11">
        <f t="shared" si="0"/>
        <v>4.4129891756869366</v>
      </c>
    </row>
    <row r="35" spans="1:30" hidden="1" x14ac:dyDescent="0.35">
      <c r="A35" s="4" t="s">
        <v>34</v>
      </c>
      <c r="B35" s="2">
        <v>2015</v>
      </c>
      <c r="C35" s="2" t="s">
        <v>43</v>
      </c>
      <c r="D35" s="2">
        <v>125</v>
      </c>
      <c r="E35" s="2">
        <v>129.80000000000001</v>
      </c>
      <c r="F35" s="2">
        <v>118.9</v>
      </c>
      <c r="G35" s="2">
        <v>129.1</v>
      </c>
      <c r="H35" s="2">
        <v>113.3</v>
      </c>
      <c r="I35" s="2">
        <v>129</v>
      </c>
      <c r="J35" s="2">
        <v>160.4</v>
      </c>
      <c r="K35" s="2">
        <v>165.3</v>
      </c>
      <c r="L35" s="2">
        <v>92.3</v>
      </c>
      <c r="M35" s="2">
        <v>129.69999999999999</v>
      </c>
      <c r="N35" s="2">
        <v>121.1</v>
      </c>
      <c r="O35" s="2">
        <v>133</v>
      </c>
      <c r="P35" s="2">
        <v>132.5</v>
      </c>
      <c r="Q35" s="2">
        <v>128.5</v>
      </c>
      <c r="R35" s="2">
        <v>123.8</v>
      </c>
      <c r="S35" s="2">
        <v>122.4</v>
      </c>
      <c r="T35" s="2">
        <v>120.8</v>
      </c>
      <c r="U35" s="2">
        <v>123</v>
      </c>
      <c r="V35" s="2">
        <v>120.4</v>
      </c>
      <c r="W35" s="2">
        <v>111.4</v>
      </c>
      <c r="X35" s="2">
        <v>118.7</v>
      </c>
      <c r="Y35" s="2">
        <v>125.9</v>
      </c>
      <c r="Z35" s="2">
        <v>113.9</v>
      </c>
      <c r="AA35" s="2">
        <v>117.9</v>
      </c>
      <c r="AB35" s="2">
        <v>126.1</v>
      </c>
      <c r="AC35" s="9">
        <v>42278</v>
      </c>
      <c r="AD35" s="11">
        <f t="shared" si="0"/>
        <v>4.9958368026644466</v>
      </c>
    </row>
    <row r="36" spans="1:30" hidden="1" x14ac:dyDescent="0.35">
      <c r="A36" s="5" t="s">
        <v>34</v>
      </c>
      <c r="B36" s="3">
        <v>2015</v>
      </c>
      <c r="C36" s="3" t="s">
        <v>45</v>
      </c>
      <c r="D36" s="3">
        <v>125.4</v>
      </c>
      <c r="E36" s="3">
        <v>130.30000000000001</v>
      </c>
      <c r="F36" s="3">
        <v>121.6</v>
      </c>
      <c r="G36" s="3">
        <v>129.19999999999999</v>
      </c>
      <c r="H36" s="3">
        <v>114.9</v>
      </c>
      <c r="I36" s="3">
        <v>128.19999999999999</v>
      </c>
      <c r="J36" s="3">
        <v>158.4</v>
      </c>
      <c r="K36" s="3">
        <v>171.2</v>
      </c>
      <c r="L36" s="3">
        <v>93.3</v>
      </c>
      <c r="M36" s="3">
        <v>131.19999999999999</v>
      </c>
      <c r="N36" s="3">
        <v>121.7</v>
      </c>
      <c r="O36" s="3">
        <v>134</v>
      </c>
      <c r="P36" s="3">
        <v>133.6</v>
      </c>
      <c r="Q36" s="3">
        <v>129.30000000000001</v>
      </c>
      <c r="R36" s="3">
        <v>124.5</v>
      </c>
      <c r="S36" s="3">
        <v>122.9</v>
      </c>
      <c r="T36" s="3">
        <v>121.6</v>
      </c>
      <c r="U36" s="3">
        <v>123.4</v>
      </c>
      <c r="V36" s="3">
        <v>120.9</v>
      </c>
      <c r="W36" s="3">
        <v>111.5</v>
      </c>
      <c r="X36" s="3">
        <v>119.2</v>
      </c>
      <c r="Y36" s="3">
        <v>126.3</v>
      </c>
      <c r="Z36" s="3">
        <v>113.8</v>
      </c>
      <c r="AA36" s="3">
        <v>118.1</v>
      </c>
      <c r="AB36" s="3">
        <v>126.6</v>
      </c>
      <c r="AC36" s="8">
        <v>42309</v>
      </c>
      <c r="AD36" s="11">
        <f t="shared" si="0"/>
        <v>5.4121565362198174</v>
      </c>
    </row>
    <row r="37" spans="1:30" hidden="1" x14ac:dyDescent="0.35">
      <c r="A37" s="4" t="s">
        <v>34</v>
      </c>
      <c r="B37" s="2">
        <v>2015</v>
      </c>
      <c r="C37" s="2" t="s">
        <v>46</v>
      </c>
      <c r="D37" s="2">
        <v>125.7</v>
      </c>
      <c r="E37" s="2">
        <v>131.4</v>
      </c>
      <c r="F37" s="2">
        <v>124.8</v>
      </c>
      <c r="G37" s="2">
        <v>129.4</v>
      </c>
      <c r="H37" s="2">
        <v>115.3</v>
      </c>
      <c r="I37" s="2">
        <v>126.6</v>
      </c>
      <c r="J37" s="2">
        <v>146.69999999999999</v>
      </c>
      <c r="K37" s="2">
        <v>171.5</v>
      </c>
      <c r="L37" s="2">
        <v>94.5</v>
      </c>
      <c r="M37" s="2">
        <v>132.1</v>
      </c>
      <c r="N37" s="2">
        <v>122</v>
      </c>
      <c r="O37" s="2">
        <v>134.69999999999999</v>
      </c>
      <c r="P37" s="2">
        <v>134.5</v>
      </c>
      <c r="Q37" s="2">
        <v>129.69999999999999</v>
      </c>
      <c r="R37" s="2">
        <v>124.8</v>
      </c>
      <c r="S37" s="2">
        <v>122.4</v>
      </c>
      <c r="T37" s="2">
        <v>122</v>
      </c>
      <c r="U37" s="2">
        <v>123.6</v>
      </c>
      <c r="V37" s="2">
        <v>121.4</v>
      </c>
      <c r="W37" s="2">
        <v>111.5</v>
      </c>
      <c r="X37" s="2">
        <v>119.6</v>
      </c>
      <c r="Y37" s="2">
        <v>126.2</v>
      </c>
      <c r="Z37" s="2">
        <v>113.7</v>
      </c>
      <c r="AA37" s="2">
        <v>118.3</v>
      </c>
      <c r="AB37" s="2">
        <v>126.1</v>
      </c>
      <c r="AC37" s="9">
        <v>42339</v>
      </c>
      <c r="AD37" s="11">
        <f t="shared" si="0"/>
        <v>5.6113902847571087</v>
      </c>
    </row>
    <row r="38" spans="1:30" hidden="1" x14ac:dyDescent="0.35">
      <c r="A38" s="5" t="s">
        <v>34</v>
      </c>
      <c r="B38" s="3">
        <v>2016</v>
      </c>
      <c r="C38" s="3" t="s">
        <v>31</v>
      </c>
      <c r="D38" s="3">
        <v>126.1</v>
      </c>
      <c r="E38" s="3">
        <v>134.1</v>
      </c>
      <c r="F38" s="3">
        <v>128.6</v>
      </c>
      <c r="G38" s="3">
        <v>129.9</v>
      </c>
      <c r="H38" s="3">
        <v>115.5</v>
      </c>
      <c r="I38" s="3">
        <v>125.7</v>
      </c>
      <c r="J38" s="3">
        <v>141.5</v>
      </c>
      <c r="K38" s="3">
        <v>170.7</v>
      </c>
      <c r="L38" s="3">
        <v>97.4</v>
      </c>
      <c r="M38" s="3">
        <v>132.9</v>
      </c>
      <c r="N38" s="3">
        <v>122.7</v>
      </c>
      <c r="O38" s="3">
        <v>135.30000000000001</v>
      </c>
      <c r="P38" s="3">
        <v>135.19999999999999</v>
      </c>
      <c r="Q38" s="3">
        <v>130.30000000000001</v>
      </c>
      <c r="R38" s="3">
        <v>125.1</v>
      </c>
      <c r="S38" s="3">
        <v>123.4</v>
      </c>
      <c r="T38" s="3">
        <v>122.7</v>
      </c>
      <c r="U38" s="3">
        <v>124.2</v>
      </c>
      <c r="V38" s="3">
        <v>122</v>
      </c>
      <c r="W38" s="3">
        <v>111.1</v>
      </c>
      <c r="X38" s="3">
        <v>119.8</v>
      </c>
      <c r="Y38" s="3">
        <v>126.3</v>
      </c>
      <c r="Z38" s="3">
        <v>114.5</v>
      </c>
      <c r="AA38" s="3">
        <v>118.5</v>
      </c>
      <c r="AB38" s="3">
        <v>126.3</v>
      </c>
      <c r="AC38" s="8">
        <v>42370</v>
      </c>
      <c r="AD38" s="11">
        <f t="shared" si="0"/>
        <v>5.690376569037654</v>
      </c>
    </row>
    <row r="39" spans="1:30" hidden="1" x14ac:dyDescent="0.35">
      <c r="A39" s="4" t="s">
        <v>34</v>
      </c>
      <c r="B39" s="2">
        <v>2016</v>
      </c>
      <c r="C39" s="2" t="s">
        <v>35</v>
      </c>
      <c r="D39" s="2">
        <v>126.4</v>
      </c>
      <c r="E39" s="2">
        <v>134.19999999999999</v>
      </c>
      <c r="F39" s="2">
        <v>128.69999999999999</v>
      </c>
      <c r="G39" s="2">
        <v>130.30000000000001</v>
      </c>
      <c r="H39" s="2">
        <v>114.8</v>
      </c>
      <c r="I39" s="2">
        <v>124.9</v>
      </c>
      <c r="J39" s="2">
        <v>130.30000000000001</v>
      </c>
      <c r="K39" s="2">
        <v>167.4</v>
      </c>
      <c r="L39" s="2">
        <v>98.8</v>
      </c>
      <c r="M39" s="2">
        <v>133.6</v>
      </c>
      <c r="N39" s="2">
        <v>123</v>
      </c>
      <c r="O39" s="2">
        <v>135.80000000000001</v>
      </c>
      <c r="P39" s="2">
        <v>135.9</v>
      </c>
      <c r="Q39" s="2">
        <v>130.9</v>
      </c>
      <c r="R39" s="2">
        <v>125.8</v>
      </c>
      <c r="S39" s="2">
        <v>124.4</v>
      </c>
      <c r="T39" s="2">
        <v>123.1</v>
      </c>
      <c r="U39" s="2">
        <v>124.6</v>
      </c>
      <c r="V39" s="2">
        <v>122.5</v>
      </c>
      <c r="W39" s="2">
        <v>111.4</v>
      </c>
      <c r="X39" s="2">
        <v>120.3</v>
      </c>
      <c r="Y39" s="2">
        <v>126.6</v>
      </c>
      <c r="Z39" s="2">
        <v>116.6</v>
      </c>
      <c r="AA39" s="2">
        <v>119.1</v>
      </c>
      <c r="AB39" s="2">
        <v>126</v>
      </c>
      <c r="AC39" s="9">
        <v>42401</v>
      </c>
      <c r="AD39" s="11">
        <f t="shared" si="0"/>
        <v>5.2631578947368398</v>
      </c>
    </row>
    <row r="40" spans="1:30" hidden="1" x14ac:dyDescent="0.35">
      <c r="A40" s="5" t="s">
        <v>34</v>
      </c>
      <c r="B40" s="3">
        <v>2016</v>
      </c>
      <c r="C40" s="3" t="s">
        <v>36</v>
      </c>
      <c r="D40" s="3">
        <v>126.5</v>
      </c>
      <c r="E40" s="3">
        <v>135.1</v>
      </c>
      <c r="F40" s="3">
        <v>124.6</v>
      </c>
      <c r="G40" s="3">
        <v>130.19999999999999</v>
      </c>
      <c r="H40" s="3">
        <v>114.5</v>
      </c>
      <c r="I40" s="3">
        <v>126.2</v>
      </c>
      <c r="J40" s="3">
        <v>129.80000000000001</v>
      </c>
      <c r="K40" s="3">
        <v>164.3</v>
      </c>
      <c r="L40" s="3">
        <v>100.9</v>
      </c>
      <c r="M40" s="3">
        <v>133.9</v>
      </c>
      <c r="N40" s="3">
        <v>123.1</v>
      </c>
      <c r="O40" s="3">
        <v>136.30000000000001</v>
      </c>
      <c r="P40" s="3">
        <v>136.5</v>
      </c>
      <c r="Q40" s="3">
        <v>131.30000000000001</v>
      </c>
      <c r="R40" s="3">
        <v>126.1</v>
      </c>
      <c r="S40" s="3">
        <v>124.9</v>
      </c>
      <c r="T40" s="3">
        <v>122.4</v>
      </c>
      <c r="U40" s="3">
        <v>125.1</v>
      </c>
      <c r="V40" s="3">
        <v>122.9</v>
      </c>
      <c r="W40" s="3">
        <v>110.9</v>
      </c>
      <c r="X40" s="3">
        <v>120.6</v>
      </c>
      <c r="Y40" s="3">
        <v>126.9</v>
      </c>
      <c r="Z40" s="3">
        <v>117.3</v>
      </c>
      <c r="AA40" s="3">
        <v>119.3</v>
      </c>
      <c r="AB40" s="3">
        <v>126</v>
      </c>
      <c r="AC40" s="8">
        <v>42430</v>
      </c>
      <c r="AD40" s="11">
        <f t="shared" si="0"/>
        <v>4.8252911813643902</v>
      </c>
    </row>
    <row r="41" spans="1:30" hidden="1" x14ac:dyDescent="0.35">
      <c r="A41" s="4" t="s">
        <v>34</v>
      </c>
      <c r="B41" s="2">
        <v>2016</v>
      </c>
      <c r="C41" s="2" t="s">
        <v>37</v>
      </c>
      <c r="D41" s="2">
        <v>126.6</v>
      </c>
      <c r="E41" s="2">
        <v>136.80000000000001</v>
      </c>
      <c r="F41" s="2">
        <v>122</v>
      </c>
      <c r="G41" s="2">
        <v>130.9</v>
      </c>
      <c r="H41" s="2">
        <v>114.8</v>
      </c>
      <c r="I41" s="2">
        <v>134.80000000000001</v>
      </c>
      <c r="J41" s="2">
        <v>135</v>
      </c>
      <c r="K41" s="2">
        <v>167.5</v>
      </c>
      <c r="L41" s="2">
        <v>106.4</v>
      </c>
      <c r="M41" s="2">
        <v>134.4</v>
      </c>
      <c r="N41" s="2">
        <v>123.6</v>
      </c>
      <c r="O41" s="2">
        <v>136.69999999999999</v>
      </c>
      <c r="P41" s="2">
        <v>137.1</v>
      </c>
      <c r="Q41" s="2">
        <v>131.80000000000001</v>
      </c>
      <c r="R41" s="2">
        <v>126.4</v>
      </c>
      <c r="S41" s="2">
        <v>125.6</v>
      </c>
      <c r="T41" s="2">
        <v>122.3</v>
      </c>
      <c r="U41" s="2">
        <v>125.5</v>
      </c>
      <c r="V41" s="2">
        <v>123.2</v>
      </c>
      <c r="W41" s="2">
        <v>112.1</v>
      </c>
      <c r="X41" s="2">
        <v>121.1</v>
      </c>
      <c r="Y41" s="2">
        <v>127.7</v>
      </c>
      <c r="Z41" s="2">
        <v>118.1</v>
      </c>
      <c r="AA41" s="2">
        <v>120</v>
      </c>
      <c r="AB41" s="2">
        <v>127.3</v>
      </c>
      <c r="AC41" s="9">
        <v>42461</v>
      </c>
      <c r="AD41" s="11">
        <f t="shared" si="0"/>
        <v>5.4681027340513628</v>
      </c>
    </row>
    <row r="42" spans="1:30" hidden="1" x14ac:dyDescent="0.35">
      <c r="A42" s="5" t="s">
        <v>34</v>
      </c>
      <c r="B42" s="3">
        <v>2016</v>
      </c>
      <c r="C42" s="3" t="s">
        <v>38</v>
      </c>
      <c r="D42" s="3">
        <v>126.8</v>
      </c>
      <c r="E42" s="3">
        <v>139.1</v>
      </c>
      <c r="F42" s="3">
        <v>125.4</v>
      </c>
      <c r="G42" s="3">
        <v>131.69999999999999</v>
      </c>
      <c r="H42" s="3">
        <v>115</v>
      </c>
      <c r="I42" s="3">
        <v>136</v>
      </c>
      <c r="J42" s="3">
        <v>145.1</v>
      </c>
      <c r="K42" s="3">
        <v>171.7</v>
      </c>
      <c r="L42" s="3">
        <v>108.7</v>
      </c>
      <c r="M42" s="3">
        <v>135.30000000000001</v>
      </c>
      <c r="N42" s="3">
        <v>124.2</v>
      </c>
      <c r="O42" s="3">
        <v>137.4</v>
      </c>
      <c r="P42" s="3">
        <v>137.69999999999999</v>
      </c>
      <c r="Q42" s="3">
        <v>132.19999999999999</v>
      </c>
      <c r="R42" s="3">
        <v>126.8</v>
      </c>
      <c r="S42" s="3">
        <v>126</v>
      </c>
      <c r="T42" s="3">
        <v>122.7</v>
      </c>
      <c r="U42" s="3">
        <v>126</v>
      </c>
      <c r="V42" s="3">
        <v>123.7</v>
      </c>
      <c r="W42" s="3">
        <v>112.8</v>
      </c>
      <c r="X42" s="3">
        <v>121.5</v>
      </c>
      <c r="Y42" s="3">
        <v>128.5</v>
      </c>
      <c r="Z42" s="3">
        <v>119.2</v>
      </c>
      <c r="AA42" s="3">
        <v>120.7</v>
      </c>
      <c r="AB42" s="3">
        <v>128.6</v>
      </c>
      <c r="AC42" s="8">
        <v>42491</v>
      </c>
      <c r="AD42" s="11">
        <f t="shared" si="0"/>
        <v>5.7565789473684212</v>
      </c>
    </row>
    <row r="43" spans="1:30" hidden="1" x14ac:dyDescent="0.35">
      <c r="A43" s="4" t="s">
        <v>34</v>
      </c>
      <c r="B43" s="2">
        <v>2016</v>
      </c>
      <c r="C43" s="2" t="s">
        <v>39</v>
      </c>
      <c r="D43" s="2">
        <v>127.7</v>
      </c>
      <c r="E43" s="2">
        <v>140.5</v>
      </c>
      <c r="F43" s="2">
        <v>128.30000000000001</v>
      </c>
      <c r="G43" s="2">
        <v>132.6</v>
      </c>
      <c r="H43" s="2">
        <v>115.5</v>
      </c>
      <c r="I43" s="2">
        <v>136.5</v>
      </c>
      <c r="J43" s="2">
        <v>159.69999999999999</v>
      </c>
      <c r="K43" s="2">
        <v>174.3</v>
      </c>
      <c r="L43" s="2">
        <v>109.9</v>
      </c>
      <c r="M43" s="2">
        <v>136.30000000000001</v>
      </c>
      <c r="N43" s="2">
        <v>124.4</v>
      </c>
      <c r="O43" s="2">
        <v>138.1</v>
      </c>
      <c r="P43" s="2">
        <v>138.69999999999999</v>
      </c>
      <c r="Q43" s="2">
        <v>132.9</v>
      </c>
      <c r="R43" s="2">
        <v>127.2</v>
      </c>
      <c r="S43" s="2">
        <v>125.5</v>
      </c>
      <c r="T43" s="2">
        <v>123.3</v>
      </c>
      <c r="U43" s="2">
        <v>126.4</v>
      </c>
      <c r="V43" s="2">
        <v>124.1</v>
      </c>
      <c r="W43" s="2">
        <v>114.2</v>
      </c>
      <c r="X43" s="2">
        <v>121.7</v>
      </c>
      <c r="Y43" s="2">
        <v>129.69999999999999</v>
      </c>
      <c r="Z43" s="2">
        <v>119.4</v>
      </c>
      <c r="AA43" s="2">
        <v>121.5</v>
      </c>
      <c r="AB43" s="2">
        <v>130.1</v>
      </c>
      <c r="AC43" s="9">
        <v>42522</v>
      </c>
      <c r="AD43" s="11">
        <f t="shared" si="0"/>
        <v>5.7723577235772305</v>
      </c>
    </row>
    <row r="44" spans="1:30" hidden="1" x14ac:dyDescent="0.35">
      <c r="A44" s="5" t="s">
        <v>34</v>
      </c>
      <c r="B44" s="3">
        <v>2016</v>
      </c>
      <c r="C44" s="3" t="s">
        <v>40</v>
      </c>
      <c r="D44" s="3">
        <v>128.5</v>
      </c>
      <c r="E44" s="3">
        <v>141.19999999999999</v>
      </c>
      <c r="F44" s="3">
        <v>132.30000000000001</v>
      </c>
      <c r="G44" s="3">
        <v>133.5</v>
      </c>
      <c r="H44" s="3">
        <v>116.4</v>
      </c>
      <c r="I44" s="3">
        <v>137.80000000000001</v>
      </c>
      <c r="J44" s="3">
        <v>165.4</v>
      </c>
      <c r="K44" s="3">
        <v>177.4</v>
      </c>
      <c r="L44" s="3">
        <v>111.3</v>
      </c>
      <c r="M44" s="3">
        <v>137.5</v>
      </c>
      <c r="N44" s="3">
        <v>125</v>
      </c>
      <c r="O44" s="3">
        <v>138.80000000000001</v>
      </c>
      <c r="P44" s="3">
        <v>139.30000000000001</v>
      </c>
      <c r="Q44" s="3">
        <v>133.5</v>
      </c>
      <c r="R44" s="3">
        <v>127.6</v>
      </c>
      <c r="S44" s="3">
        <v>126.4</v>
      </c>
      <c r="T44" s="3">
        <v>123.4</v>
      </c>
      <c r="U44" s="3">
        <v>126.9</v>
      </c>
      <c r="V44" s="3">
        <v>124.5</v>
      </c>
      <c r="W44" s="3">
        <v>113.9</v>
      </c>
      <c r="X44" s="3">
        <v>122.4</v>
      </c>
      <c r="Y44" s="3">
        <v>130.80000000000001</v>
      </c>
      <c r="Z44" s="3">
        <v>120.5</v>
      </c>
      <c r="AA44" s="3">
        <v>121.9</v>
      </c>
      <c r="AB44" s="3">
        <v>131.1</v>
      </c>
      <c r="AC44" s="8">
        <v>42552</v>
      </c>
      <c r="AD44" s="11">
        <f t="shared" si="0"/>
        <v>6.0679611650485441</v>
      </c>
    </row>
    <row r="45" spans="1:30" hidden="1" x14ac:dyDescent="0.35">
      <c r="A45" s="4" t="s">
        <v>34</v>
      </c>
      <c r="B45" s="2">
        <v>2016</v>
      </c>
      <c r="C45" s="2" t="s">
        <v>41</v>
      </c>
      <c r="D45" s="2">
        <v>129.30000000000001</v>
      </c>
      <c r="E45" s="2">
        <v>139.30000000000001</v>
      </c>
      <c r="F45" s="2">
        <v>131.6</v>
      </c>
      <c r="G45" s="2">
        <v>134.1</v>
      </c>
      <c r="H45" s="2">
        <v>116.9</v>
      </c>
      <c r="I45" s="2">
        <v>138.1</v>
      </c>
      <c r="J45" s="2">
        <v>159.1</v>
      </c>
      <c r="K45" s="2">
        <v>175.6</v>
      </c>
      <c r="L45" s="2">
        <v>112.9</v>
      </c>
      <c r="M45" s="2">
        <v>138.1</v>
      </c>
      <c r="N45" s="2">
        <v>125.5</v>
      </c>
      <c r="O45" s="2">
        <v>139.5</v>
      </c>
      <c r="P45" s="2">
        <v>140.19999999999999</v>
      </c>
      <c r="Q45" s="2">
        <v>134.1</v>
      </c>
      <c r="R45" s="2">
        <v>128.19999999999999</v>
      </c>
      <c r="S45" s="2">
        <v>127.3</v>
      </c>
      <c r="T45" s="2">
        <v>123.6</v>
      </c>
      <c r="U45" s="2">
        <v>127.4</v>
      </c>
      <c r="V45" s="2">
        <v>124.8</v>
      </c>
      <c r="W45" s="2">
        <v>113.1</v>
      </c>
      <c r="X45" s="2">
        <v>122.7</v>
      </c>
      <c r="Y45" s="2">
        <v>131.69999999999999</v>
      </c>
      <c r="Z45" s="2">
        <v>121.5</v>
      </c>
      <c r="AA45" s="2">
        <v>122.1</v>
      </c>
      <c r="AB45" s="2">
        <v>131.1</v>
      </c>
      <c r="AC45" s="9">
        <v>42583</v>
      </c>
      <c r="AD45" s="11">
        <f t="shared" si="0"/>
        <v>5.0480769230769207</v>
      </c>
    </row>
    <row r="46" spans="1:30" hidden="1" x14ac:dyDescent="0.35">
      <c r="A46" s="5" t="s">
        <v>34</v>
      </c>
      <c r="B46" s="3">
        <v>2016</v>
      </c>
      <c r="C46" s="3" t="s">
        <v>42</v>
      </c>
      <c r="D46" s="3">
        <v>129.9</v>
      </c>
      <c r="E46" s="3">
        <v>138</v>
      </c>
      <c r="F46" s="3">
        <v>130.5</v>
      </c>
      <c r="G46" s="3">
        <v>134.4</v>
      </c>
      <c r="H46" s="3">
        <v>117.2</v>
      </c>
      <c r="I46" s="3">
        <v>136.1</v>
      </c>
      <c r="J46" s="3">
        <v>150.69999999999999</v>
      </c>
      <c r="K46" s="3">
        <v>171.5</v>
      </c>
      <c r="L46" s="3">
        <v>113.8</v>
      </c>
      <c r="M46" s="3">
        <v>138.80000000000001</v>
      </c>
      <c r="N46" s="3">
        <v>126</v>
      </c>
      <c r="O46" s="3">
        <v>140.19999999999999</v>
      </c>
      <c r="P46" s="3">
        <v>141</v>
      </c>
      <c r="Q46" s="3">
        <v>134.6</v>
      </c>
      <c r="R46" s="3">
        <v>128.6</v>
      </c>
      <c r="S46" s="3">
        <v>127.9</v>
      </c>
      <c r="T46" s="3">
        <v>124.1</v>
      </c>
      <c r="U46" s="3">
        <v>127.9</v>
      </c>
      <c r="V46" s="3">
        <v>125.4</v>
      </c>
      <c r="W46" s="3">
        <v>114.3</v>
      </c>
      <c r="X46" s="3">
        <v>122.9</v>
      </c>
      <c r="Y46" s="3">
        <v>131.80000000000001</v>
      </c>
      <c r="Z46" s="3">
        <v>122.1</v>
      </c>
      <c r="AA46" s="3">
        <v>122.8</v>
      </c>
      <c r="AB46" s="3">
        <v>130.9</v>
      </c>
      <c r="AC46" s="8">
        <v>42614</v>
      </c>
      <c r="AD46" s="11">
        <f t="shared" si="0"/>
        <v>4.3859649122807012</v>
      </c>
    </row>
    <row r="47" spans="1:30" hidden="1" x14ac:dyDescent="0.35">
      <c r="A47" s="4" t="s">
        <v>34</v>
      </c>
      <c r="B47" s="2">
        <v>2016</v>
      </c>
      <c r="C47" s="2" t="s">
        <v>43</v>
      </c>
      <c r="D47" s="2">
        <v>130.5</v>
      </c>
      <c r="E47" s="2">
        <v>137.9</v>
      </c>
      <c r="F47" s="2">
        <v>130.19999999999999</v>
      </c>
      <c r="G47" s="2">
        <v>134.80000000000001</v>
      </c>
      <c r="H47" s="2">
        <v>117.8</v>
      </c>
      <c r="I47" s="2">
        <v>134.69999999999999</v>
      </c>
      <c r="J47" s="2">
        <v>151.19999999999999</v>
      </c>
      <c r="K47" s="2">
        <v>172.1</v>
      </c>
      <c r="L47" s="2">
        <v>114.1</v>
      </c>
      <c r="M47" s="2">
        <v>139.30000000000001</v>
      </c>
      <c r="N47" s="2">
        <v>126.1</v>
      </c>
      <c r="O47" s="2">
        <v>141.1</v>
      </c>
      <c r="P47" s="2">
        <v>141.80000000000001</v>
      </c>
      <c r="Q47" s="2">
        <v>135.5</v>
      </c>
      <c r="R47" s="2">
        <v>129.1</v>
      </c>
      <c r="S47" s="2">
        <v>128.69999999999999</v>
      </c>
      <c r="T47" s="2">
        <v>124.3</v>
      </c>
      <c r="U47" s="2">
        <v>128.4</v>
      </c>
      <c r="V47" s="2">
        <v>126.1</v>
      </c>
      <c r="W47" s="2">
        <v>115.2</v>
      </c>
      <c r="X47" s="2">
        <v>123.5</v>
      </c>
      <c r="Y47" s="2">
        <v>132.4</v>
      </c>
      <c r="Z47" s="2">
        <v>122.1</v>
      </c>
      <c r="AA47" s="2">
        <v>123.4</v>
      </c>
      <c r="AB47" s="2">
        <v>131.4</v>
      </c>
      <c r="AC47" s="9">
        <v>42644</v>
      </c>
      <c r="AD47" s="11">
        <f t="shared" si="0"/>
        <v>4.2030134813640059</v>
      </c>
    </row>
    <row r="48" spans="1:30" hidden="1" x14ac:dyDescent="0.35">
      <c r="A48" s="5" t="s">
        <v>34</v>
      </c>
      <c r="B48" s="3">
        <v>2016</v>
      </c>
      <c r="C48" s="3" t="s">
        <v>45</v>
      </c>
      <c r="D48" s="3">
        <v>131.4</v>
      </c>
      <c r="E48" s="3">
        <v>137.80000000000001</v>
      </c>
      <c r="F48" s="3">
        <v>132</v>
      </c>
      <c r="G48" s="3">
        <v>135</v>
      </c>
      <c r="H48" s="3">
        <v>118</v>
      </c>
      <c r="I48" s="3">
        <v>134.1</v>
      </c>
      <c r="J48" s="3">
        <v>141.9</v>
      </c>
      <c r="K48" s="3">
        <v>171.7</v>
      </c>
      <c r="L48" s="3">
        <v>114.1</v>
      </c>
      <c r="M48" s="3">
        <v>139.69999999999999</v>
      </c>
      <c r="N48" s="3">
        <v>126.2</v>
      </c>
      <c r="O48" s="3">
        <v>141.80000000000001</v>
      </c>
      <c r="P48" s="3">
        <v>142</v>
      </c>
      <c r="Q48" s="3">
        <v>135.80000000000001</v>
      </c>
      <c r="R48" s="3">
        <v>129.30000000000001</v>
      </c>
      <c r="S48" s="3">
        <v>129.1</v>
      </c>
      <c r="T48" s="3">
        <v>125</v>
      </c>
      <c r="U48" s="3">
        <v>128.6</v>
      </c>
      <c r="V48" s="3">
        <v>126.4</v>
      </c>
      <c r="W48" s="3">
        <v>115.7</v>
      </c>
      <c r="X48" s="3">
        <v>124</v>
      </c>
      <c r="Y48" s="3">
        <v>132.80000000000001</v>
      </c>
      <c r="Z48" s="3">
        <v>122.6</v>
      </c>
      <c r="AA48" s="3">
        <v>123.8</v>
      </c>
      <c r="AB48" s="3">
        <v>131.19999999999999</v>
      </c>
      <c r="AC48" s="8">
        <v>42675</v>
      </c>
      <c r="AD48" s="11">
        <f t="shared" si="0"/>
        <v>3.6334913112164253</v>
      </c>
    </row>
    <row r="49" spans="1:30" hidden="1" x14ac:dyDescent="0.35">
      <c r="A49" s="4" t="s">
        <v>34</v>
      </c>
      <c r="B49" s="2">
        <v>2016</v>
      </c>
      <c r="C49" s="2" t="s">
        <v>46</v>
      </c>
      <c r="D49" s="2">
        <v>132.30000000000001</v>
      </c>
      <c r="E49" s="2">
        <v>137.6</v>
      </c>
      <c r="F49" s="2">
        <v>132.9</v>
      </c>
      <c r="G49" s="2">
        <v>135.1</v>
      </c>
      <c r="H49" s="2">
        <v>118.6</v>
      </c>
      <c r="I49" s="2">
        <v>132.69999999999999</v>
      </c>
      <c r="J49" s="2">
        <v>125.3</v>
      </c>
      <c r="K49" s="2">
        <v>168.7</v>
      </c>
      <c r="L49" s="2">
        <v>114.4</v>
      </c>
      <c r="M49" s="2">
        <v>140.19999999999999</v>
      </c>
      <c r="N49" s="2">
        <v>126.6</v>
      </c>
      <c r="O49" s="2">
        <v>142.30000000000001</v>
      </c>
      <c r="P49" s="2">
        <v>143.1</v>
      </c>
      <c r="Q49" s="2">
        <v>136.30000000000001</v>
      </c>
      <c r="R49" s="2">
        <v>129.80000000000001</v>
      </c>
      <c r="S49" s="2">
        <v>128.5</v>
      </c>
      <c r="T49" s="2">
        <v>126.6</v>
      </c>
      <c r="U49" s="2">
        <v>129.19999999999999</v>
      </c>
      <c r="V49" s="2">
        <v>126.9</v>
      </c>
      <c r="W49" s="2">
        <v>116</v>
      </c>
      <c r="X49" s="2">
        <v>124.2</v>
      </c>
      <c r="Y49" s="2">
        <v>133.1</v>
      </c>
      <c r="Z49" s="2">
        <v>121.1</v>
      </c>
      <c r="AA49" s="2">
        <v>123.9</v>
      </c>
      <c r="AB49" s="2">
        <v>130.4</v>
      </c>
      <c r="AC49" s="9">
        <v>42705</v>
      </c>
      <c r="AD49" s="11">
        <f t="shared" si="0"/>
        <v>3.4099920697858934</v>
      </c>
    </row>
    <row r="50" spans="1:30" x14ac:dyDescent="0.35">
      <c r="A50" s="5" t="s">
        <v>34</v>
      </c>
      <c r="B50" s="3">
        <v>2017</v>
      </c>
      <c r="C50" s="3" t="s">
        <v>31</v>
      </c>
      <c r="D50" s="3">
        <v>132.80000000000001</v>
      </c>
      <c r="E50" s="3">
        <v>138.19999999999999</v>
      </c>
      <c r="F50" s="3">
        <v>132.19999999999999</v>
      </c>
      <c r="G50" s="3">
        <v>135.4</v>
      </c>
      <c r="H50" s="3">
        <v>119.1</v>
      </c>
      <c r="I50" s="3">
        <v>133</v>
      </c>
      <c r="J50" s="3">
        <v>119.4</v>
      </c>
      <c r="K50" s="3">
        <v>159.5</v>
      </c>
      <c r="L50" s="3">
        <v>115.6</v>
      </c>
      <c r="M50" s="3">
        <v>139.6</v>
      </c>
      <c r="N50" s="3">
        <v>126.6</v>
      </c>
      <c r="O50" s="3">
        <v>142.80000000000001</v>
      </c>
      <c r="P50" s="3">
        <v>143.80000000000001</v>
      </c>
      <c r="Q50" s="3">
        <v>136.6</v>
      </c>
      <c r="R50" s="3">
        <v>130.19999999999999</v>
      </c>
      <c r="S50" s="3">
        <v>129.6</v>
      </c>
      <c r="T50" s="3">
        <v>126.8</v>
      </c>
      <c r="U50" s="3">
        <v>129.4</v>
      </c>
      <c r="V50" s="3">
        <v>127.1</v>
      </c>
      <c r="W50" s="3">
        <v>117</v>
      </c>
      <c r="X50" s="3">
        <v>124.2</v>
      </c>
      <c r="Y50" s="3">
        <v>133.30000000000001</v>
      </c>
      <c r="Z50" s="3">
        <v>121.7</v>
      </c>
      <c r="AA50" s="3">
        <v>124.4</v>
      </c>
      <c r="AB50" s="3">
        <v>130.30000000000001</v>
      </c>
      <c r="AC50" s="8">
        <v>42736</v>
      </c>
      <c r="AD50" s="11">
        <f t="shared" si="0"/>
        <v>3.1670625494853639</v>
      </c>
    </row>
    <row r="51" spans="1:30" x14ac:dyDescent="0.35">
      <c r="A51" s="4" t="s">
        <v>34</v>
      </c>
      <c r="B51" s="2">
        <v>2017</v>
      </c>
      <c r="C51" s="2" t="s">
        <v>35</v>
      </c>
      <c r="D51" s="2">
        <v>133.1</v>
      </c>
      <c r="E51" s="2">
        <v>138.80000000000001</v>
      </c>
      <c r="F51" s="2">
        <v>129.30000000000001</v>
      </c>
      <c r="G51" s="2">
        <v>135.80000000000001</v>
      </c>
      <c r="H51" s="2">
        <v>119.2</v>
      </c>
      <c r="I51" s="2">
        <v>135.30000000000001</v>
      </c>
      <c r="J51" s="2">
        <v>119.5</v>
      </c>
      <c r="K51" s="2">
        <v>152.19999999999999</v>
      </c>
      <c r="L51" s="2">
        <v>117.3</v>
      </c>
      <c r="M51" s="2">
        <v>138.69999999999999</v>
      </c>
      <c r="N51" s="2">
        <v>126.9</v>
      </c>
      <c r="O51" s="2">
        <v>143.19999999999999</v>
      </c>
      <c r="P51" s="2">
        <v>144.4</v>
      </c>
      <c r="Q51" s="2">
        <v>136.80000000000001</v>
      </c>
      <c r="R51" s="2">
        <v>130.30000000000001</v>
      </c>
      <c r="S51" s="2">
        <v>130.5</v>
      </c>
      <c r="T51" s="2">
        <v>127.9</v>
      </c>
      <c r="U51" s="2">
        <v>129.69999999999999</v>
      </c>
      <c r="V51" s="2">
        <v>127.4</v>
      </c>
      <c r="W51" s="2">
        <v>117.4</v>
      </c>
      <c r="X51" s="2">
        <v>124.6</v>
      </c>
      <c r="Y51" s="2">
        <v>133.4</v>
      </c>
      <c r="Z51" s="2">
        <v>122.6</v>
      </c>
      <c r="AA51" s="2">
        <v>124.8</v>
      </c>
      <c r="AB51" s="2">
        <v>130.6</v>
      </c>
      <c r="AC51" s="9">
        <v>42767</v>
      </c>
      <c r="AD51" s="11">
        <f t="shared" si="0"/>
        <v>3.6507936507936463</v>
      </c>
    </row>
    <row r="52" spans="1:30" x14ac:dyDescent="0.35">
      <c r="A52" s="5" t="s">
        <v>34</v>
      </c>
      <c r="B52" s="3">
        <v>2017</v>
      </c>
      <c r="C52" s="3" t="s">
        <v>36</v>
      </c>
      <c r="D52" s="3">
        <v>133.30000000000001</v>
      </c>
      <c r="E52" s="3">
        <v>139</v>
      </c>
      <c r="F52" s="3">
        <v>128.6</v>
      </c>
      <c r="G52" s="3">
        <v>136.30000000000001</v>
      </c>
      <c r="H52" s="3">
        <v>118.8</v>
      </c>
      <c r="I52" s="3">
        <v>138.30000000000001</v>
      </c>
      <c r="J52" s="3">
        <v>120.5</v>
      </c>
      <c r="K52" s="3">
        <v>143.9</v>
      </c>
      <c r="L52" s="3">
        <v>118</v>
      </c>
      <c r="M52" s="3">
        <v>137.9</v>
      </c>
      <c r="N52" s="3">
        <v>127.2</v>
      </c>
      <c r="O52" s="3">
        <v>144</v>
      </c>
      <c r="P52" s="3">
        <v>145.1</v>
      </c>
      <c r="Q52" s="3">
        <v>137.30000000000001</v>
      </c>
      <c r="R52" s="3">
        <v>130.6</v>
      </c>
      <c r="S52" s="3">
        <v>131.1</v>
      </c>
      <c r="T52" s="3">
        <v>129.1</v>
      </c>
      <c r="U52" s="3">
        <v>130.1</v>
      </c>
      <c r="V52" s="3">
        <v>127.8</v>
      </c>
      <c r="W52" s="3">
        <v>117.6</v>
      </c>
      <c r="X52" s="3">
        <v>125</v>
      </c>
      <c r="Y52" s="3">
        <v>133.80000000000001</v>
      </c>
      <c r="Z52" s="3">
        <v>122.6</v>
      </c>
      <c r="AA52" s="3">
        <v>125.1</v>
      </c>
      <c r="AB52" s="3">
        <v>130.9</v>
      </c>
      <c r="AC52" s="8">
        <v>42795</v>
      </c>
      <c r="AD52" s="11">
        <f t="shared" si="0"/>
        <v>3.8888888888888933</v>
      </c>
    </row>
    <row r="53" spans="1:30" x14ac:dyDescent="0.35">
      <c r="A53" s="4" t="s">
        <v>34</v>
      </c>
      <c r="B53" s="2">
        <v>2017</v>
      </c>
      <c r="C53" s="2" t="s">
        <v>37</v>
      </c>
      <c r="D53" s="2">
        <v>133</v>
      </c>
      <c r="E53" s="2">
        <v>139.4</v>
      </c>
      <c r="F53" s="2">
        <v>126.1</v>
      </c>
      <c r="G53" s="2">
        <v>137.19999999999999</v>
      </c>
      <c r="H53" s="2">
        <v>118.4</v>
      </c>
      <c r="I53" s="2">
        <v>139.9</v>
      </c>
      <c r="J53" s="2">
        <v>123.4</v>
      </c>
      <c r="K53" s="2">
        <v>140.9</v>
      </c>
      <c r="L53" s="2">
        <v>118.5</v>
      </c>
      <c r="M53" s="2">
        <v>136.5</v>
      </c>
      <c r="N53" s="2">
        <v>127.4</v>
      </c>
      <c r="O53" s="2">
        <v>144.19999999999999</v>
      </c>
      <c r="P53" s="2">
        <v>145.4</v>
      </c>
      <c r="Q53" s="2">
        <v>138</v>
      </c>
      <c r="R53" s="2">
        <v>131.1</v>
      </c>
      <c r="S53" s="2">
        <v>131.69999999999999</v>
      </c>
      <c r="T53" s="2">
        <v>129.80000000000001</v>
      </c>
      <c r="U53" s="2">
        <v>130.4</v>
      </c>
      <c r="V53" s="2">
        <v>128.1</v>
      </c>
      <c r="W53" s="2">
        <v>116.6</v>
      </c>
      <c r="X53" s="2">
        <v>125.1</v>
      </c>
      <c r="Y53" s="2">
        <v>134.5</v>
      </c>
      <c r="Z53" s="2">
        <v>123.1</v>
      </c>
      <c r="AA53" s="2">
        <v>125.1</v>
      </c>
      <c r="AB53" s="2">
        <v>131.1</v>
      </c>
      <c r="AC53" s="9">
        <v>42826</v>
      </c>
      <c r="AD53" s="11">
        <f t="shared" si="0"/>
        <v>2.9850746268656696</v>
      </c>
    </row>
    <row r="54" spans="1:30" x14ac:dyDescent="0.35">
      <c r="A54" s="5" t="s">
        <v>34</v>
      </c>
      <c r="B54" s="3">
        <v>2017</v>
      </c>
      <c r="C54" s="3" t="s">
        <v>38</v>
      </c>
      <c r="D54" s="3">
        <v>132.9</v>
      </c>
      <c r="E54" s="3">
        <v>141.6</v>
      </c>
      <c r="F54" s="3">
        <v>126.3</v>
      </c>
      <c r="G54" s="3">
        <v>137.69999999999999</v>
      </c>
      <c r="H54" s="3">
        <v>118.1</v>
      </c>
      <c r="I54" s="3">
        <v>137.9</v>
      </c>
      <c r="J54" s="3">
        <v>125.6</v>
      </c>
      <c r="K54" s="3">
        <v>138.30000000000001</v>
      </c>
      <c r="L54" s="3">
        <v>119.4</v>
      </c>
      <c r="M54" s="3">
        <v>136</v>
      </c>
      <c r="N54" s="3">
        <v>127.6</v>
      </c>
      <c r="O54" s="3">
        <v>144.5</v>
      </c>
      <c r="P54" s="3">
        <v>146.19999999999999</v>
      </c>
      <c r="Q54" s="3">
        <v>138.19999999999999</v>
      </c>
      <c r="R54" s="3">
        <v>131.4</v>
      </c>
      <c r="S54" s="3">
        <v>132.1</v>
      </c>
      <c r="T54" s="3">
        <v>129.4</v>
      </c>
      <c r="U54" s="3">
        <v>130.9</v>
      </c>
      <c r="V54" s="3">
        <v>128.4</v>
      </c>
      <c r="W54" s="3">
        <v>116.7</v>
      </c>
      <c r="X54" s="3">
        <v>125.7</v>
      </c>
      <c r="Y54" s="3">
        <v>134.80000000000001</v>
      </c>
      <c r="Z54" s="3">
        <v>123</v>
      </c>
      <c r="AA54" s="3">
        <v>125.3</v>
      </c>
      <c r="AB54" s="3">
        <v>131.4</v>
      </c>
      <c r="AC54" s="8">
        <v>42856</v>
      </c>
      <c r="AD54" s="11">
        <f t="shared" si="0"/>
        <v>2.1772939346811913</v>
      </c>
    </row>
    <row r="55" spans="1:30" x14ac:dyDescent="0.35">
      <c r="A55" s="4" t="s">
        <v>34</v>
      </c>
      <c r="B55" s="2">
        <v>2017</v>
      </c>
      <c r="C55" s="2" t="s">
        <v>39</v>
      </c>
      <c r="D55" s="2">
        <v>133.30000000000001</v>
      </c>
      <c r="E55" s="2">
        <v>145.5</v>
      </c>
      <c r="F55" s="2">
        <v>128.1</v>
      </c>
      <c r="G55" s="2">
        <v>138.1</v>
      </c>
      <c r="H55" s="2">
        <v>118.2</v>
      </c>
      <c r="I55" s="2">
        <v>139.19999999999999</v>
      </c>
      <c r="J55" s="2">
        <v>133.30000000000001</v>
      </c>
      <c r="K55" s="2">
        <v>136.19999999999999</v>
      </c>
      <c r="L55" s="2">
        <v>119.6</v>
      </c>
      <c r="M55" s="2">
        <v>135.30000000000001</v>
      </c>
      <c r="N55" s="2">
        <v>127.8</v>
      </c>
      <c r="O55" s="2">
        <v>144.9</v>
      </c>
      <c r="P55" s="2">
        <v>146.5</v>
      </c>
      <c r="Q55" s="2">
        <v>138.5</v>
      </c>
      <c r="R55" s="2">
        <v>131.69999999999999</v>
      </c>
      <c r="S55" s="2">
        <v>131.4</v>
      </c>
      <c r="T55" s="2">
        <v>128.80000000000001</v>
      </c>
      <c r="U55" s="2">
        <v>131.19999999999999</v>
      </c>
      <c r="V55" s="2">
        <v>128.5</v>
      </c>
      <c r="W55" s="2">
        <v>116.5</v>
      </c>
      <c r="X55" s="2">
        <v>125.9</v>
      </c>
      <c r="Y55" s="2">
        <v>135.4</v>
      </c>
      <c r="Z55" s="2">
        <v>123.4</v>
      </c>
      <c r="AA55" s="2">
        <v>125.5</v>
      </c>
      <c r="AB55" s="2">
        <v>132</v>
      </c>
      <c r="AC55" s="9">
        <v>42887</v>
      </c>
      <c r="AD55" s="11">
        <f t="shared" si="0"/>
        <v>1.4604150653343626</v>
      </c>
    </row>
    <row r="56" spans="1:30" x14ac:dyDescent="0.35">
      <c r="A56" s="5" t="s">
        <v>34</v>
      </c>
      <c r="B56" s="3">
        <v>2017</v>
      </c>
      <c r="C56" s="3" t="s">
        <v>40</v>
      </c>
      <c r="D56" s="3">
        <v>133.6</v>
      </c>
      <c r="E56" s="3">
        <v>145.69999999999999</v>
      </c>
      <c r="F56" s="3">
        <v>129.6</v>
      </c>
      <c r="G56" s="3">
        <v>138.5</v>
      </c>
      <c r="H56" s="3">
        <v>118.1</v>
      </c>
      <c r="I56" s="3">
        <v>141.80000000000001</v>
      </c>
      <c r="J56" s="3">
        <v>159.5</v>
      </c>
      <c r="K56" s="3">
        <v>133.6</v>
      </c>
      <c r="L56" s="3">
        <v>120.5</v>
      </c>
      <c r="M56" s="3">
        <v>135.19999999999999</v>
      </c>
      <c r="N56" s="3">
        <v>128.5</v>
      </c>
      <c r="O56" s="3">
        <v>145.80000000000001</v>
      </c>
      <c r="P56" s="3">
        <v>148.19999999999999</v>
      </c>
      <c r="Q56" s="3">
        <v>139.30000000000001</v>
      </c>
      <c r="R56" s="3">
        <v>132.1</v>
      </c>
      <c r="S56" s="3">
        <v>132.6</v>
      </c>
      <c r="T56" s="3">
        <v>129.4</v>
      </c>
      <c r="U56" s="3">
        <v>131.9</v>
      </c>
      <c r="V56" s="3">
        <v>129.4</v>
      </c>
      <c r="W56" s="3">
        <v>116</v>
      </c>
      <c r="X56" s="3">
        <v>126.6</v>
      </c>
      <c r="Y56" s="3">
        <v>136.80000000000001</v>
      </c>
      <c r="Z56" s="3">
        <v>123.6</v>
      </c>
      <c r="AA56" s="3">
        <v>125.9</v>
      </c>
      <c r="AB56" s="3">
        <v>134.19999999999999</v>
      </c>
      <c r="AC56" s="8">
        <v>42917</v>
      </c>
      <c r="AD56" s="11">
        <f t="shared" si="0"/>
        <v>2.3646071700991569</v>
      </c>
    </row>
    <row r="57" spans="1:30" x14ac:dyDescent="0.35">
      <c r="A57" s="4" t="s">
        <v>34</v>
      </c>
      <c r="B57" s="2">
        <v>2017</v>
      </c>
      <c r="C57" s="2" t="s">
        <v>41</v>
      </c>
      <c r="D57" s="2">
        <v>134.30000000000001</v>
      </c>
      <c r="E57" s="2">
        <v>143.4</v>
      </c>
      <c r="F57" s="2">
        <v>129.30000000000001</v>
      </c>
      <c r="G57" s="2">
        <v>139</v>
      </c>
      <c r="H57" s="2">
        <v>118.1</v>
      </c>
      <c r="I57" s="2">
        <v>145.5</v>
      </c>
      <c r="J57" s="2">
        <v>168.6</v>
      </c>
      <c r="K57" s="2">
        <v>132.69999999999999</v>
      </c>
      <c r="L57" s="2">
        <v>121.2</v>
      </c>
      <c r="M57" s="2">
        <v>135.6</v>
      </c>
      <c r="N57" s="2">
        <v>128.69999999999999</v>
      </c>
      <c r="O57" s="2">
        <v>146.80000000000001</v>
      </c>
      <c r="P57" s="2">
        <v>149.80000000000001</v>
      </c>
      <c r="Q57" s="2">
        <v>140.30000000000001</v>
      </c>
      <c r="R57" s="2">
        <v>133</v>
      </c>
      <c r="S57" s="2">
        <v>134.4</v>
      </c>
      <c r="T57" s="2">
        <v>129.80000000000001</v>
      </c>
      <c r="U57" s="2">
        <v>132.80000000000001</v>
      </c>
      <c r="V57" s="2">
        <v>130.19999999999999</v>
      </c>
      <c r="W57" s="2">
        <v>117.3</v>
      </c>
      <c r="X57" s="2">
        <v>127.3</v>
      </c>
      <c r="Y57" s="2">
        <v>137.6</v>
      </c>
      <c r="Z57" s="2">
        <v>124.5</v>
      </c>
      <c r="AA57" s="2">
        <v>126.8</v>
      </c>
      <c r="AB57" s="2">
        <v>135.4</v>
      </c>
      <c r="AC57" s="9">
        <v>42948</v>
      </c>
      <c r="AD57" s="11">
        <f t="shared" si="0"/>
        <v>3.2799389778794903</v>
      </c>
    </row>
    <row r="58" spans="1:30" x14ac:dyDescent="0.35">
      <c r="A58" s="5" t="s">
        <v>34</v>
      </c>
      <c r="B58" s="3">
        <v>2017</v>
      </c>
      <c r="C58" s="3" t="s">
        <v>42</v>
      </c>
      <c r="D58" s="3">
        <v>134.69999999999999</v>
      </c>
      <c r="E58" s="3">
        <v>142.4</v>
      </c>
      <c r="F58" s="3">
        <v>130.19999999999999</v>
      </c>
      <c r="G58" s="3">
        <v>139.6</v>
      </c>
      <c r="H58" s="3">
        <v>118.4</v>
      </c>
      <c r="I58" s="3">
        <v>143</v>
      </c>
      <c r="J58" s="3">
        <v>156.6</v>
      </c>
      <c r="K58" s="3">
        <v>132.9</v>
      </c>
      <c r="L58" s="3">
        <v>121.5</v>
      </c>
      <c r="M58" s="3">
        <v>135.6</v>
      </c>
      <c r="N58" s="3">
        <v>128.80000000000001</v>
      </c>
      <c r="O58" s="3">
        <v>147.30000000000001</v>
      </c>
      <c r="P58" s="3">
        <v>150.80000000000001</v>
      </c>
      <c r="Q58" s="3">
        <v>141.1</v>
      </c>
      <c r="R58" s="3">
        <v>133.4</v>
      </c>
      <c r="S58" s="3">
        <v>135.69999999999999</v>
      </c>
      <c r="T58" s="3">
        <v>131</v>
      </c>
      <c r="U58" s="3">
        <v>133.30000000000001</v>
      </c>
      <c r="V58" s="3">
        <v>130.6</v>
      </c>
      <c r="W58" s="3">
        <v>118.3</v>
      </c>
      <c r="X58" s="3">
        <v>127.9</v>
      </c>
      <c r="Y58" s="3">
        <v>137.4</v>
      </c>
      <c r="Z58" s="3">
        <v>125.7</v>
      </c>
      <c r="AA58" s="3">
        <v>127.5</v>
      </c>
      <c r="AB58" s="3">
        <v>135.19999999999999</v>
      </c>
      <c r="AC58" s="8">
        <v>42979</v>
      </c>
      <c r="AD58" s="11">
        <f t="shared" si="0"/>
        <v>3.2849503437738599</v>
      </c>
    </row>
    <row r="59" spans="1:30" x14ac:dyDescent="0.35">
      <c r="A59" s="4" t="s">
        <v>34</v>
      </c>
      <c r="B59" s="2">
        <v>2017</v>
      </c>
      <c r="C59" s="2" t="s">
        <v>43</v>
      </c>
      <c r="D59" s="2">
        <v>135.30000000000001</v>
      </c>
      <c r="E59" s="2">
        <v>142.19999999999999</v>
      </c>
      <c r="F59" s="2">
        <v>131.19999999999999</v>
      </c>
      <c r="G59" s="2">
        <v>140.6</v>
      </c>
      <c r="H59" s="2">
        <v>119</v>
      </c>
      <c r="I59" s="2">
        <v>141.5</v>
      </c>
      <c r="J59" s="2">
        <v>162.6</v>
      </c>
      <c r="K59" s="2">
        <v>132.30000000000001</v>
      </c>
      <c r="L59" s="2">
        <v>121.8</v>
      </c>
      <c r="M59" s="2">
        <v>136.30000000000001</v>
      </c>
      <c r="N59" s="2">
        <v>128.69999999999999</v>
      </c>
      <c r="O59" s="2">
        <v>148.1</v>
      </c>
      <c r="P59" s="2">
        <v>151.6</v>
      </c>
      <c r="Q59" s="2">
        <v>142</v>
      </c>
      <c r="R59" s="2">
        <v>134.1</v>
      </c>
      <c r="S59" s="2">
        <v>137.30000000000001</v>
      </c>
      <c r="T59" s="2">
        <v>132.19999999999999</v>
      </c>
      <c r="U59" s="2">
        <v>133.6</v>
      </c>
      <c r="V59" s="2">
        <v>131.30000000000001</v>
      </c>
      <c r="W59" s="2">
        <v>117.8</v>
      </c>
      <c r="X59" s="2">
        <v>128.4</v>
      </c>
      <c r="Y59" s="2">
        <v>137.9</v>
      </c>
      <c r="Z59" s="2">
        <v>126.2</v>
      </c>
      <c r="AA59" s="2">
        <v>127.7</v>
      </c>
      <c r="AB59" s="2">
        <v>136.1</v>
      </c>
      <c r="AC59" s="9">
        <v>43009</v>
      </c>
      <c r="AD59" s="11">
        <f t="shared" si="0"/>
        <v>3.5768645357686371</v>
      </c>
    </row>
    <row r="60" spans="1:30" x14ac:dyDescent="0.35">
      <c r="A60" s="5" t="s">
        <v>34</v>
      </c>
      <c r="B60" s="3">
        <v>2017</v>
      </c>
      <c r="C60" s="3" t="s">
        <v>45</v>
      </c>
      <c r="D60" s="3">
        <v>135.69999999999999</v>
      </c>
      <c r="E60" s="3">
        <v>142.4</v>
      </c>
      <c r="F60" s="3">
        <v>142.9</v>
      </c>
      <c r="G60" s="3">
        <v>140.80000000000001</v>
      </c>
      <c r="H60" s="3">
        <v>119.2</v>
      </c>
      <c r="I60" s="3">
        <v>142.19999999999999</v>
      </c>
      <c r="J60" s="3">
        <v>173.8</v>
      </c>
      <c r="K60" s="3">
        <v>131.19999999999999</v>
      </c>
      <c r="L60" s="3">
        <v>123</v>
      </c>
      <c r="M60" s="3">
        <v>136.80000000000001</v>
      </c>
      <c r="N60" s="3">
        <v>129.19999999999999</v>
      </c>
      <c r="O60" s="3">
        <v>148.9</v>
      </c>
      <c r="P60" s="3">
        <v>153.19999999999999</v>
      </c>
      <c r="Q60" s="3">
        <v>143</v>
      </c>
      <c r="R60" s="3">
        <v>134.80000000000001</v>
      </c>
      <c r="S60" s="3">
        <v>138.6</v>
      </c>
      <c r="T60" s="3">
        <v>135.30000000000001</v>
      </c>
      <c r="U60" s="3">
        <v>134.4</v>
      </c>
      <c r="V60" s="3">
        <v>132.6</v>
      </c>
      <c r="W60" s="3">
        <v>118.3</v>
      </c>
      <c r="X60" s="3">
        <v>128.9</v>
      </c>
      <c r="Y60" s="3">
        <v>138.6</v>
      </c>
      <c r="Z60" s="3">
        <v>126.8</v>
      </c>
      <c r="AA60" s="3">
        <v>128.4</v>
      </c>
      <c r="AB60" s="3">
        <v>137.6</v>
      </c>
      <c r="AC60" s="8">
        <v>43040</v>
      </c>
      <c r="AD60" s="11">
        <f t="shared" si="0"/>
        <v>4.8780487804878101</v>
      </c>
    </row>
    <row r="61" spans="1:30" x14ac:dyDescent="0.35">
      <c r="A61" s="4" t="s">
        <v>34</v>
      </c>
      <c r="B61" s="2">
        <v>2017</v>
      </c>
      <c r="C61" s="2" t="s">
        <v>46</v>
      </c>
      <c r="D61" s="2">
        <v>135.80000000000001</v>
      </c>
      <c r="E61" s="2">
        <v>143.30000000000001</v>
      </c>
      <c r="F61" s="2">
        <v>145.19999999999999</v>
      </c>
      <c r="G61" s="2">
        <v>141</v>
      </c>
      <c r="H61" s="2">
        <v>120.5</v>
      </c>
      <c r="I61" s="2">
        <v>141.5</v>
      </c>
      <c r="J61" s="2">
        <v>161.69999999999999</v>
      </c>
      <c r="K61" s="2">
        <v>129.1</v>
      </c>
      <c r="L61" s="2">
        <v>121.5</v>
      </c>
      <c r="M61" s="2">
        <v>137.1</v>
      </c>
      <c r="N61" s="2">
        <v>128.80000000000001</v>
      </c>
      <c r="O61" s="2">
        <v>149</v>
      </c>
      <c r="P61" s="2">
        <v>154.19999999999999</v>
      </c>
      <c r="Q61" s="2">
        <v>143.1</v>
      </c>
      <c r="R61" s="2">
        <v>135.1</v>
      </c>
      <c r="S61" s="2">
        <v>139.1</v>
      </c>
      <c r="T61" s="2">
        <v>136.6</v>
      </c>
      <c r="U61" s="2">
        <v>134.69999999999999</v>
      </c>
      <c r="V61" s="2">
        <v>133.1</v>
      </c>
      <c r="W61" s="2">
        <v>118.5</v>
      </c>
      <c r="X61" s="2">
        <v>129</v>
      </c>
      <c r="Y61" s="2">
        <v>138.5</v>
      </c>
      <c r="Z61" s="2">
        <v>126.5</v>
      </c>
      <c r="AA61" s="2">
        <v>128.6</v>
      </c>
      <c r="AB61" s="2">
        <v>137.19999999999999</v>
      </c>
      <c r="AC61" s="9">
        <v>43070</v>
      </c>
      <c r="AD61" s="11">
        <f t="shared" si="0"/>
        <v>5.2147239263803549</v>
      </c>
    </row>
    <row r="62" spans="1:30" x14ac:dyDescent="0.35">
      <c r="A62" s="5" t="s">
        <v>34</v>
      </c>
      <c r="B62" s="3">
        <v>2018</v>
      </c>
      <c r="C62" s="3" t="s">
        <v>31</v>
      </c>
      <c r="D62" s="3">
        <v>136</v>
      </c>
      <c r="E62" s="3">
        <v>144.19999999999999</v>
      </c>
      <c r="F62" s="3">
        <v>143.69999999999999</v>
      </c>
      <c r="G62" s="3">
        <v>141.1</v>
      </c>
      <c r="H62" s="3">
        <v>120.7</v>
      </c>
      <c r="I62" s="3">
        <v>141.30000000000001</v>
      </c>
      <c r="J62" s="3">
        <v>151.6</v>
      </c>
      <c r="K62" s="3">
        <v>127.3</v>
      </c>
      <c r="L62" s="3">
        <v>118.8</v>
      </c>
      <c r="M62" s="3">
        <v>137.5</v>
      </c>
      <c r="N62" s="3">
        <v>129</v>
      </c>
      <c r="O62" s="3">
        <v>149.5</v>
      </c>
      <c r="P62" s="3">
        <v>154.69999999999999</v>
      </c>
      <c r="Q62" s="3">
        <v>143.5</v>
      </c>
      <c r="R62" s="3">
        <v>135.5</v>
      </c>
      <c r="S62" s="3">
        <v>140.4</v>
      </c>
      <c r="T62" s="3">
        <v>136.6</v>
      </c>
      <c r="U62" s="3">
        <v>134.9</v>
      </c>
      <c r="V62" s="3">
        <v>133.30000000000001</v>
      </c>
      <c r="W62" s="3">
        <v>119.3</v>
      </c>
      <c r="X62" s="3">
        <v>129.69999999999999</v>
      </c>
      <c r="Y62" s="3">
        <v>139</v>
      </c>
      <c r="Z62" s="3">
        <v>127.3</v>
      </c>
      <c r="AA62" s="3">
        <v>129.1</v>
      </c>
      <c r="AB62" s="3">
        <v>136.9</v>
      </c>
      <c r="AC62" s="8">
        <v>43101</v>
      </c>
      <c r="AD62" s="11">
        <f t="shared" si="0"/>
        <v>5.0652340752110465</v>
      </c>
    </row>
    <row r="63" spans="1:30" x14ac:dyDescent="0.35">
      <c r="A63" s="4" t="s">
        <v>34</v>
      </c>
      <c r="B63" s="2">
        <v>2018</v>
      </c>
      <c r="C63" s="2" t="s">
        <v>35</v>
      </c>
      <c r="D63" s="2">
        <v>135.9</v>
      </c>
      <c r="E63" s="2">
        <v>143.5</v>
      </c>
      <c r="F63" s="2">
        <v>140.30000000000001</v>
      </c>
      <c r="G63" s="2">
        <v>140.9</v>
      </c>
      <c r="H63" s="2">
        <v>120.4</v>
      </c>
      <c r="I63" s="2">
        <v>142.9</v>
      </c>
      <c r="J63" s="2">
        <v>140.5</v>
      </c>
      <c r="K63" s="2">
        <v>125.8</v>
      </c>
      <c r="L63" s="2">
        <v>117.1</v>
      </c>
      <c r="M63" s="2">
        <v>137.30000000000001</v>
      </c>
      <c r="N63" s="2">
        <v>128.6</v>
      </c>
      <c r="O63" s="2">
        <v>149.6</v>
      </c>
      <c r="P63" s="2">
        <v>154.9</v>
      </c>
      <c r="Q63" s="2">
        <v>143.80000000000001</v>
      </c>
      <c r="R63" s="2">
        <v>135.6</v>
      </c>
      <c r="S63" s="2">
        <v>141.30000000000001</v>
      </c>
      <c r="T63" s="2">
        <v>136.69999999999999</v>
      </c>
      <c r="U63" s="2">
        <v>135.19999999999999</v>
      </c>
      <c r="V63" s="2">
        <v>133.80000000000001</v>
      </c>
      <c r="W63" s="2">
        <v>120.2</v>
      </c>
      <c r="X63" s="2">
        <v>129.9</v>
      </c>
      <c r="Y63" s="2">
        <v>139</v>
      </c>
      <c r="Z63" s="2">
        <v>127.7</v>
      </c>
      <c r="AA63" s="2">
        <v>129.6</v>
      </c>
      <c r="AB63" s="2">
        <v>136.4</v>
      </c>
      <c r="AC63" s="9">
        <v>43132</v>
      </c>
      <c r="AD63" s="11">
        <f t="shared" si="0"/>
        <v>4.4410413476263493</v>
      </c>
    </row>
    <row r="64" spans="1:30" x14ac:dyDescent="0.35">
      <c r="A64" s="5" t="s">
        <v>34</v>
      </c>
      <c r="B64" s="3">
        <v>2018</v>
      </c>
      <c r="C64" s="3" t="s">
        <v>36</v>
      </c>
      <c r="D64" s="3">
        <v>136.19999999999999</v>
      </c>
      <c r="E64" s="3">
        <v>143.6</v>
      </c>
      <c r="F64" s="3">
        <v>138.30000000000001</v>
      </c>
      <c r="G64" s="3">
        <v>141.19999999999999</v>
      </c>
      <c r="H64" s="3">
        <v>120.7</v>
      </c>
      <c r="I64" s="3">
        <v>146.19999999999999</v>
      </c>
      <c r="J64" s="3">
        <v>134.6</v>
      </c>
      <c r="K64" s="3">
        <v>124.6</v>
      </c>
      <c r="L64" s="3">
        <v>116.1</v>
      </c>
      <c r="M64" s="3">
        <v>137.80000000000001</v>
      </c>
      <c r="N64" s="3">
        <v>129.1</v>
      </c>
      <c r="O64" s="3">
        <v>150.4</v>
      </c>
      <c r="P64" s="3">
        <v>156.30000000000001</v>
      </c>
      <c r="Q64" s="3">
        <v>144.30000000000001</v>
      </c>
      <c r="R64" s="3">
        <v>136.19999999999999</v>
      </c>
      <c r="S64" s="3">
        <v>142</v>
      </c>
      <c r="T64" s="3">
        <v>136.5</v>
      </c>
      <c r="U64" s="3">
        <v>135.6</v>
      </c>
      <c r="V64" s="3">
        <v>134.30000000000001</v>
      </c>
      <c r="W64" s="3">
        <v>121</v>
      </c>
      <c r="X64" s="3">
        <v>130.4</v>
      </c>
      <c r="Y64" s="3">
        <v>139.80000000000001</v>
      </c>
      <c r="Z64" s="3">
        <v>128.19999999999999</v>
      </c>
      <c r="AA64" s="3">
        <v>130.30000000000001</v>
      </c>
      <c r="AB64" s="3">
        <v>136.5</v>
      </c>
      <c r="AC64" s="8">
        <v>43160</v>
      </c>
      <c r="AD64" s="11">
        <f t="shared" si="0"/>
        <v>4.2780748663101562</v>
      </c>
    </row>
    <row r="65" spans="1:30" x14ac:dyDescent="0.35">
      <c r="A65" s="4" t="s">
        <v>34</v>
      </c>
      <c r="B65" s="2">
        <v>2018</v>
      </c>
      <c r="C65" s="2" t="s">
        <v>37</v>
      </c>
      <c r="D65" s="2">
        <v>136.4</v>
      </c>
      <c r="E65" s="2">
        <v>144.4</v>
      </c>
      <c r="F65" s="2">
        <v>133.9</v>
      </c>
      <c r="G65" s="2">
        <v>141.6</v>
      </c>
      <c r="H65" s="2">
        <v>121</v>
      </c>
      <c r="I65" s="2">
        <v>153.5</v>
      </c>
      <c r="J65" s="2">
        <v>132.6</v>
      </c>
      <c r="K65" s="2">
        <v>123.5</v>
      </c>
      <c r="L65" s="2">
        <v>113.7</v>
      </c>
      <c r="M65" s="2">
        <v>138.19999999999999</v>
      </c>
      <c r="N65" s="2">
        <v>129.6</v>
      </c>
      <c r="O65" s="2">
        <v>151.19999999999999</v>
      </c>
      <c r="P65" s="2">
        <v>156.9</v>
      </c>
      <c r="Q65" s="2">
        <v>145.30000000000001</v>
      </c>
      <c r="R65" s="2">
        <v>136.69999999999999</v>
      </c>
      <c r="S65" s="2">
        <v>142.9</v>
      </c>
      <c r="T65" s="2">
        <v>136.5</v>
      </c>
      <c r="U65" s="2">
        <v>136.6</v>
      </c>
      <c r="V65" s="2">
        <v>135.19999999999999</v>
      </c>
      <c r="W65" s="2">
        <v>121.9</v>
      </c>
      <c r="X65" s="2">
        <v>131.30000000000001</v>
      </c>
      <c r="Y65" s="2">
        <v>141.4</v>
      </c>
      <c r="Z65" s="2">
        <v>129.19999999999999</v>
      </c>
      <c r="AA65" s="2">
        <v>131.30000000000001</v>
      </c>
      <c r="AB65" s="2">
        <v>137.1</v>
      </c>
      <c r="AC65" s="9">
        <v>43191</v>
      </c>
      <c r="AD65" s="11">
        <f t="shared" si="0"/>
        <v>4.5766590389016022</v>
      </c>
    </row>
    <row r="66" spans="1:30" x14ac:dyDescent="0.35">
      <c r="A66" s="5" t="s">
        <v>34</v>
      </c>
      <c r="B66" s="3">
        <v>2018</v>
      </c>
      <c r="C66" s="3" t="s">
        <v>38</v>
      </c>
      <c r="D66" s="3">
        <v>136.6</v>
      </c>
      <c r="E66" s="3">
        <v>146.6</v>
      </c>
      <c r="F66" s="3">
        <v>133.6</v>
      </c>
      <c r="G66" s="3">
        <v>142.1</v>
      </c>
      <c r="H66" s="3">
        <v>121</v>
      </c>
      <c r="I66" s="3">
        <v>154.6</v>
      </c>
      <c r="J66" s="3">
        <v>135.6</v>
      </c>
      <c r="K66" s="3">
        <v>122.3</v>
      </c>
      <c r="L66" s="3">
        <v>109.6</v>
      </c>
      <c r="M66" s="3">
        <v>138.1</v>
      </c>
      <c r="N66" s="3">
        <v>129.9</v>
      </c>
      <c r="O66" s="3">
        <v>151.69999999999999</v>
      </c>
      <c r="P66" s="3">
        <v>157.9</v>
      </c>
      <c r="Q66" s="3">
        <v>146</v>
      </c>
      <c r="R66" s="3">
        <v>137.4</v>
      </c>
      <c r="S66" s="3">
        <v>143.19999999999999</v>
      </c>
      <c r="T66" s="3">
        <v>136.9</v>
      </c>
      <c r="U66" s="3">
        <v>137.4</v>
      </c>
      <c r="V66" s="3">
        <v>136</v>
      </c>
      <c r="W66" s="3">
        <v>122.9</v>
      </c>
      <c r="X66" s="3">
        <v>131.80000000000001</v>
      </c>
      <c r="Y66" s="3">
        <v>142.1</v>
      </c>
      <c r="Z66" s="3">
        <v>129.9</v>
      </c>
      <c r="AA66" s="3">
        <v>132.1</v>
      </c>
      <c r="AB66" s="3">
        <v>137.80000000000001</v>
      </c>
      <c r="AC66" s="8">
        <v>43221</v>
      </c>
      <c r="AD66" s="11">
        <f t="shared" si="0"/>
        <v>4.8706240487062447</v>
      </c>
    </row>
    <row r="67" spans="1:30" x14ac:dyDescent="0.35">
      <c r="A67" s="4" t="s">
        <v>34</v>
      </c>
      <c r="B67" s="2">
        <v>2018</v>
      </c>
      <c r="C67" s="2" t="s">
        <v>39</v>
      </c>
      <c r="D67" s="2">
        <v>136.9</v>
      </c>
      <c r="E67" s="2">
        <v>148.69999999999999</v>
      </c>
      <c r="F67" s="2">
        <v>135.6</v>
      </c>
      <c r="G67" s="2">
        <v>142.30000000000001</v>
      </c>
      <c r="H67" s="2">
        <v>121.3</v>
      </c>
      <c r="I67" s="2">
        <v>153.19999999999999</v>
      </c>
      <c r="J67" s="2">
        <v>143.69999999999999</v>
      </c>
      <c r="K67" s="2">
        <v>121.4</v>
      </c>
      <c r="L67" s="2">
        <v>111.1</v>
      </c>
      <c r="M67" s="2">
        <v>138.4</v>
      </c>
      <c r="N67" s="2">
        <v>130.30000000000001</v>
      </c>
      <c r="O67" s="2">
        <v>151.80000000000001</v>
      </c>
      <c r="P67" s="2">
        <v>158.30000000000001</v>
      </c>
      <c r="Q67" s="2">
        <v>146.4</v>
      </c>
      <c r="R67" s="2">
        <v>138.1</v>
      </c>
      <c r="S67" s="2">
        <v>142.5</v>
      </c>
      <c r="T67" s="2">
        <v>138.1</v>
      </c>
      <c r="U67" s="2">
        <v>137.9</v>
      </c>
      <c r="V67" s="2">
        <v>136.19999999999999</v>
      </c>
      <c r="W67" s="2">
        <v>123.7</v>
      </c>
      <c r="X67" s="2">
        <v>132.6</v>
      </c>
      <c r="Y67" s="2">
        <v>142.80000000000001</v>
      </c>
      <c r="Z67" s="2">
        <v>130.1</v>
      </c>
      <c r="AA67" s="2">
        <v>132.6</v>
      </c>
      <c r="AB67" s="2">
        <v>138.5</v>
      </c>
      <c r="AC67" s="9">
        <v>43252</v>
      </c>
      <c r="AD67" s="11">
        <f t="shared" si="0"/>
        <v>4.9242424242424239</v>
      </c>
    </row>
    <row r="68" spans="1:30" x14ac:dyDescent="0.35">
      <c r="A68" s="5" t="s">
        <v>34</v>
      </c>
      <c r="B68" s="3">
        <v>2018</v>
      </c>
      <c r="C68" s="3" t="s">
        <v>40</v>
      </c>
      <c r="D68" s="3">
        <v>137.5</v>
      </c>
      <c r="E68" s="3">
        <v>149.1</v>
      </c>
      <c r="F68" s="3">
        <v>139.19999999999999</v>
      </c>
      <c r="G68" s="3">
        <v>142.5</v>
      </c>
      <c r="H68" s="3">
        <v>121.4</v>
      </c>
      <c r="I68" s="3">
        <v>151.6</v>
      </c>
      <c r="J68" s="3">
        <v>155.9</v>
      </c>
      <c r="K68" s="3">
        <v>121.7</v>
      </c>
      <c r="L68" s="3">
        <v>113.5</v>
      </c>
      <c r="M68" s="3">
        <v>138.9</v>
      </c>
      <c r="N68" s="3">
        <v>130.30000000000001</v>
      </c>
      <c r="O68" s="3">
        <v>152.30000000000001</v>
      </c>
      <c r="P68" s="3">
        <v>157.5</v>
      </c>
      <c r="Q68" s="3">
        <v>146.80000000000001</v>
      </c>
      <c r="R68" s="3">
        <v>138.4</v>
      </c>
      <c r="S68" s="3">
        <v>143.6</v>
      </c>
      <c r="T68" s="3">
        <v>139.69999999999999</v>
      </c>
      <c r="U68" s="3">
        <v>138.6</v>
      </c>
      <c r="V68" s="3">
        <v>137</v>
      </c>
      <c r="W68" s="3">
        <v>123.6</v>
      </c>
      <c r="X68" s="3">
        <v>133.1</v>
      </c>
      <c r="Y68" s="3">
        <v>144.69999999999999</v>
      </c>
      <c r="Z68" s="3">
        <v>130.1</v>
      </c>
      <c r="AA68" s="3">
        <v>133.19999999999999</v>
      </c>
      <c r="AB68" s="3">
        <v>139.80000000000001</v>
      </c>
      <c r="AC68" s="8">
        <v>43282</v>
      </c>
      <c r="AD68" s="11">
        <f t="shared" si="0"/>
        <v>4.1728763040238617</v>
      </c>
    </row>
    <row r="69" spans="1:30" x14ac:dyDescent="0.35">
      <c r="A69" s="4" t="s">
        <v>34</v>
      </c>
      <c r="B69" s="2">
        <v>2018</v>
      </c>
      <c r="C69" s="2" t="s">
        <v>41</v>
      </c>
      <c r="D69" s="2">
        <v>138.30000000000001</v>
      </c>
      <c r="E69" s="2">
        <v>148</v>
      </c>
      <c r="F69" s="2">
        <v>138.1</v>
      </c>
      <c r="G69" s="2">
        <v>142.6</v>
      </c>
      <c r="H69" s="2">
        <v>122.2</v>
      </c>
      <c r="I69" s="2">
        <v>150.6</v>
      </c>
      <c r="J69" s="2">
        <v>156.6</v>
      </c>
      <c r="K69" s="2">
        <v>122.4</v>
      </c>
      <c r="L69" s="2">
        <v>114.7</v>
      </c>
      <c r="M69" s="2">
        <v>139.4</v>
      </c>
      <c r="N69" s="2">
        <v>131.1</v>
      </c>
      <c r="O69" s="2">
        <v>153</v>
      </c>
      <c r="P69" s="2">
        <v>157.9</v>
      </c>
      <c r="Q69" s="2">
        <v>147.30000000000001</v>
      </c>
      <c r="R69" s="2">
        <v>138.80000000000001</v>
      </c>
      <c r="S69" s="2">
        <v>144.6</v>
      </c>
      <c r="T69" s="2">
        <v>140.9</v>
      </c>
      <c r="U69" s="2">
        <v>139.4</v>
      </c>
      <c r="V69" s="2">
        <v>137.69999999999999</v>
      </c>
      <c r="W69" s="2">
        <v>124.3</v>
      </c>
      <c r="X69" s="2">
        <v>133.6</v>
      </c>
      <c r="Y69" s="2">
        <v>146</v>
      </c>
      <c r="Z69" s="2">
        <v>130.1</v>
      </c>
      <c r="AA69" s="2">
        <v>133.9</v>
      </c>
      <c r="AB69" s="2">
        <v>140.4</v>
      </c>
      <c r="AC69" s="9">
        <v>43313</v>
      </c>
      <c r="AD69" s="11">
        <f t="shared" si="0"/>
        <v>3.6927621861152145</v>
      </c>
    </row>
    <row r="70" spans="1:30" x14ac:dyDescent="0.35">
      <c r="A70" s="5" t="s">
        <v>34</v>
      </c>
      <c r="B70" s="3">
        <v>2018</v>
      </c>
      <c r="C70" s="3" t="s">
        <v>42</v>
      </c>
      <c r="D70" s="3">
        <v>138.6</v>
      </c>
      <c r="E70" s="3">
        <v>145.80000000000001</v>
      </c>
      <c r="F70" s="3">
        <v>135.1</v>
      </c>
      <c r="G70" s="3">
        <v>142.9</v>
      </c>
      <c r="H70" s="3">
        <v>122.1</v>
      </c>
      <c r="I70" s="3">
        <v>145.4</v>
      </c>
      <c r="J70" s="3">
        <v>150</v>
      </c>
      <c r="K70" s="3">
        <v>121.4</v>
      </c>
      <c r="L70" s="3">
        <v>113.7</v>
      </c>
      <c r="M70" s="3">
        <v>139.5</v>
      </c>
      <c r="N70" s="3">
        <v>130.80000000000001</v>
      </c>
      <c r="O70" s="3">
        <v>153.80000000000001</v>
      </c>
      <c r="P70" s="3">
        <v>159.19999999999999</v>
      </c>
      <c r="Q70" s="3">
        <v>147.69999999999999</v>
      </c>
      <c r="R70" s="3">
        <v>139.1</v>
      </c>
      <c r="S70" s="3">
        <v>145.30000000000001</v>
      </c>
      <c r="T70" s="3">
        <v>142.30000000000001</v>
      </c>
      <c r="U70" s="3">
        <v>139.69999999999999</v>
      </c>
      <c r="V70" s="3">
        <v>138.4</v>
      </c>
      <c r="W70" s="3">
        <v>126</v>
      </c>
      <c r="X70" s="3">
        <v>134.5</v>
      </c>
      <c r="Y70" s="3">
        <v>146.19999999999999</v>
      </c>
      <c r="Z70" s="3">
        <v>130.9</v>
      </c>
      <c r="AA70" s="3">
        <v>134.69999999999999</v>
      </c>
      <c r="AB70" s="3">
        <v>140.19999999999999</v>
      </c>
      <c r="AC70" s="8">
        <v>43344</v>
      </c>
      <c r="AD70" s="11">
        <f t="shared" si="0"/>
        <v>3.6982248520710059</v>
      </c>
    </row>
    <row r="71" spans="1:30" x14ac:dyDescent="0.35">
      <c r="A71" s="4" t="s">
        <v>34</v>
      </c>
      <c r="B71" s="2">
        <v>2018</v>
      </c>
      <c r="C71" s="2" t="s">
        <v>43</v>
      </c>
      <c r="D71" s="2">
        <v>137.4</v>
      </c>
      <c r="E71" s="2">
        <v>149.5</v>
      </c>
      <c r="F71" s="2">
        <v>137.30000000000001</v>
      </c>
      <c r="G71" s="2">
        <v>141.9</v>
      </c>
      <c r="H71" s="2">
        <v>121.1</v>
      </c>
      <c r="I71" s="2">
        <v>142.5</v>
      </c>
      <c r="J71" s="2">
        <v>146.69999999999999</v>
      </c>
      <c r="K71" s="2">
        <v>119.1</v>
      </c>
      <c r="L71" s="2">
        <v>111.9</v>
      </c>
      <c r="M71" s="2">
        <v>141</v>
      </c>
      <c r="N71" s="2">
        <v>133.6</v>
      </c>
      <c r="O71" s="2">
        <v>154.5</v>
      </c>
      <c r="P71" s="2">
        <v>162.6</v>
      </c>
      <c r="Q71" s="2">
        <v>148</v>
      </c>
      <c r="R71" s="2">
        <v>139.19999999999999</v>
      </c>
      <c r="S71" s="2">
        <v>146.9</v>
      </c>
      <c r="T71" s="2">
        <v>145.30000000000001</v>
      </c>
      <c r="U71" s="2">
        <v>142.19999999999999</v>
      </c>
      <c r="V71" s="2">
        <v>142.1</v>
      </c>
      <c r="W71" s="2">
        <v>125.5</v>
      </c>
      <c r="X71" s="2">
        <v>136.5</v>
      </c>
      <c r="Y71" s="2">
        <v>147.80000000000001</v>
      </c>
      <c r="Z71" s="2">
        <v>132</v>
      </c>
      <c r="AA71" s="2">
        <v>136.30000000000001</v>
      </c>
      <c r="AB71" s="2">
        <v>140.80000000000001</v>
      </c>
      <c r="AC71" s="9">
        <v>43374</v>
      </c>
      <c r="AD71" s="11">
        <f t="shared" si="0"/>
        <v>3.4533431300514459</v>
      </c>
    </row>
    <row r="72" spans="1:30" x14ac:dyDescent="0.35">
      <c r="A72" s="5" t="s">
        <v>34</v>
      </c>
      <c r="B72" s="3">
        <v>2018</v>
      </c>
      <c r="C72" s="3" t="s">
        <v>45</v>
      </c>
      <c r="D72" s="3">
        <v>137.4</v>
      </c>
      <c r="E72" s="3">
        <v>149.19999999999999</v>
      </c>
      <c r="F72" s="3">
        <v>137.1</v>
      </c>
      <c r="G72" s="3">
        <v>141.80000000000001</v>
      </c>
      <c r="H72" s="3">
        <v>121.1</v>
      </c>
      <c r="I72" s="3">
        <v>142.80000000000001</v>
      </c>
      <c r="J72" s="3">
        <v>146.69999999999999</v>
      </c>
      <c r="K72" s="3">
        <v>119.1</v>
      </c>
      <c r="L72" s="3">
        <v>111.9</v>
      </c>
      <c r="M72" s="3">
        <v>140.9</v>
      </c>
      <c r="N72" s="3">
        <v>133.5</v>
      </c>
      <c r="O72" s="3">
        <v>154.5</v>
      </c>
      <c r="P72" s="3">
        <v>162.6</v>
      </c>
      <c r="Q72" s="3">
        <v>148</v>
      </c>
      <c r="R72" s="3">
        <v>139.1</v>
      </c>
      <c r="S72" s="3">
        <v>146.9</v>
      </c>
      <c r="T72" s="3">
        <v>145.1</v>
      </c>
      <c r="U72" s="3">
        <v>142.19999999999999</v>
      </c>
      <c r="V72" s="3">
        <v>142.1</v>
      </c>
      <c r="W72" s="3">
        <v>125.5</v>
      </c>
      <c r="X72" s="3">
        <v>136.5</v>
      </c>
      <c r="Y72" s="3">
        <v>147.80000000000001</v>
      </c>
      <c r="Z72" s="3">
        <v>132</v>
      </c>
      <c r="AA72" s="3">
        <v>136.30000000000001</v>
      </c>
      <c r="AB72" s="3">
        <v>140.80000000000001</v>
      </c>
      <c r="AC72" s="8">
        <v>43405</v>
      </c>
      <c r="AD72" s="11">
        <f t="shared" si="0"/>
        <v>2.3255813953488498</v>
      </c>
    </row>
    <row r="73" spans="1:30" x14ac:dyDescent="0.35">
      <c r="A73" s="4" t="s">
        <v>34</v>
      </c>
      <c r="B73" s="2">
        <v>2018</v>
      </c>
      <c r="C73" s="2" t="s">
        <v>46</v>
      </c>
      <c r="D73" s="2">
        <v>137.5</v>
      </c>
      <c r="E73" s="2">
        <v>150.5</v>
      </c>
      <c r="F73" s="2">
        <v>138.80000000000001</v>
      </c>
      <c r="G73" s="2">
        <v>142.1</v>
      </c>
      <c r="H73" s="2">
        <v>122</v>
      </c>
      <c r="I73" s="2">
        <v>139.4</v>
      </c>
      <c r="J73" s="2">
        <v>135.19999999999999</v>
      </c>
      <c r="K73" s="2">
        <v>119.8</v>
      </c>
      <c r="L73" s="2">
        <v>110.3</v>
      </c>
      <c r="M73" s="2">
        <v>140.6</v>
      </c>
      <c r="N73" s="2">
        <v>133.80000000000001</v>
      </c>
      <c r="O73" s="2">
        <v>154.6</v>
      </c>
      <c r="P73" s="2">
        <v>163</v>
      </c>
      <c r="Q73" s="2">
        <v>148.1</v>
      </c>
      <c r="R73" s="2">
        <v>139.4</v>
      </c>
      <c r="S73" s="2">
        <v>146.5</v>
      </c>
      <c r="T73" s="2">
        <v>142.69999999999999</v>
      </c>
      <c r="U73" s="2">
        <v>143.19999999999999</v>
      </c>
      <c r="V73" s="2">
        <v>144.9</v>
      </c>
      <c r="W73" s="2">
        <v>123.6</v>
      </c>
      <c r="X73" s="2">
        <v>136.80000000000001</v>
      </c>
      <c r="Y73" s="2">
        <v>150.1</v>
      </c>
      <c r="Z73" s="2">
        <v>132.19999999999999</v>
      </c>
      <c r="AA73" s="2">
        <v>136.80000000000001</v>
      </c>
      <c r="AB73" s="2">
        <v>140.1</v>
      </c>
      <c r="AC73" s="9">
        <v>43435</v>
      </c>
      <c r="AD73" s="11">
        <f t="shared" si="0"/>
        <v>2.1137026239067098</v>
      </c>
    </row>
    <row r="74" spans="1:30" x14ac:dyDescent="0.35">
      <c r="A74" s="5" t="s">
        <v>34</v>
      </c>
      <c r="B74" s="3">
        <v>2019</v>
      </c>
      <c r="C74" s="3" t="s">
        <v>31</v>
      </c>
      <c r="D74" s="3">
        <v>137.1</v>
      </c>
      <c r="E74" s="3">
        <v>151.4</v>
      </c>
      <c r="F74" s="3">
        <v>140.19999999999999</v>
      </c>
      <c r="G74" s="3">
        <v>142.1</v>
      </c>
      <c r="H74" s="3">
        <v>121.8</v>
      </c>
      <c r="I74" s="3">
        <v>135.4</v>
      </c>
      <c r="J74" s="3">
        <v>131.30000000000001</v>
      </c>
      <c r="K74" s="3">
        <v>120.3</v>
      </c>
      <c r="L74" s="3">
        <v>109.1</v>
      </c>
      <c r="M74" s="3">
        <v>139.4</v>
      </c>
      <c r="N74" s="3">
        <v>133.30000000000001</v>
      </c>
      <c r="O74" s="3">
        <v>154.6</v>
      </c>
      <c r="P74" s="3">
        <v>163.19999999999999</v>
      </c>
      <c r="Q74" s="3">
        <v>147.6</v>
      </c>
      <c r="R74" s="3">
        <v>139</v>
      </c>
      <c r="S74" s="3">
        <v>147.69999999999999</v>
      </c>
      <c r="T74" s="3">
        <v>139.5</v>
      </c>
      <c r="U74" s="3">
        <v>143.6</v>
      </c>
      <c r="V74" s="3">
        <v>145.1</v>
      </c>
      <c r="W74" s="3">
        <v>123.3</v>
      </c>
      <c r="X74" s="3">
        <v>136.69999999999999</v>
      </c>
      <c r="Y74" s="3">
        <v>150.19999999999999</v>
      </c>
      <c r="Z74" s="3">
        <v>132.80000000000001</v>
      </c>
      <c r="AA74" s="3">
        <v>136.9</v>
      </c>
      <c r="AB74" s="3">
        <v>139.6</v>
      </c>
      <c r="AC74" s="8">
        <v>43466</v>
      </c>
      <c r="AD74" s="11">
        <f t="shared" si="0"/>
        <v>1.972242512783045</v>
      </c>
    </row>
    <row r="75" spans="1:30" x14ac:dyDescent="0.35">
      <c r="A75" s="4" t="s">
        <v>34</v>
      </c>
      <c r="B75" s="2">
        <v>2019</v>
      </c>
      <c r="C75" s="2" t="s">
        <v>35</v>
      </c>
      <c r="D75" s="2">
        <v>137.6</v>
      </c>
      <c r="E75" s="2">
        <v>152</v>
      </c>
      <c r="F75" s="2">
        <v>141.5</v>
      </c>
      <c r="G75" s="2">
        <v>142.19999999999999</v>
      </c>
      <c r="H75" s="2">
        <v>122</v>
      </c>
      <c r="I75" s="2">
        <v>136.4</v>
      </c>
      <c r="J75" s="2">
        <v>129.69999999999999</v>
      </c>
      <c r="K75" s="2">
        <v>121</v>
      </c>
      <c r="L75" s="2">
        <v>109</v>
      </c>
      <c r="M75" s="2">
        <v>139.69999999999999</v>
      </c>
      <c r="N75" s="2">
        <v>133.6</v>
      </c>
      <c r="O75" s="2">
        <v>154.9</v>
      </c>
      <c r="P75" s="2">
        <v>163.4</v>
      </c>
      <c r="Q75" s="2">
        <v>147.69999999999999</v>
      </c>
      <c r="R75" s="2">
        <v>139.69999999999999</v>
      </c>
      <c r="S75" s="2">
        <v>148.5</v>
      </c>
      <c r="T75" s="2">
        <v>138.4</v>
      </c>
      <c r="U75" s="2">
        <v>143.69999999999999</v>
      </c>
      <c r="V75" s="2">
        <v>145.6</v>
      </c>
      <c r="W75" s="2">
        <v>123.9</v>
      </c>
      <c r="X75" s="2">
        <v>137.1</v>
      </c>
      <c r="Y75" s="2">
        <v>150.30000000000001</v>
      </c>
      <c r="Z75" s="2">
        <v>134.1</v>
      </c>
      <c r="AA75" s="2">
        <v>137.4</v>
      </c>
      <c r="AB75" s="2">
        <v>139.9</v>
      </c>
      <c r="AC75" s="9">
        <v>43497</v>
      </c>
      <c r="AD75" s="11">
        <f t="shared" si="0"/>
        <v>2.5659824046920821</v>
      </c>
    </row>
    <row r="76" spans="1:30" x14ac:dyDescent="0.35">
      <c r="A76" s="5" t="s">
        <v>34</v>
      </c>
      <c r="B76" s="3">
        <v>2019</v>
      </c>
      <c r="C76" s="3" t="s">
        <v>36</v>
      </c>
      <c r="D76" s="3">
        <v>137.80000000000001</v>
      </c>
      <c r="E76" s="3">
        <v>153</v>
      </c>
      <c r="F76" s="3">
        <v>140.30000000000001</v>
      </c>
      <c r="G76" s="3">
        <v>142.30000000000001</v>
      </c>
      <c r="H76" s="3">
        <v>122</v>
      </c>
      <c r="I76" s="3">
        <v>137.6</v>
      </c>
      <c r="J76" s="3">
        <v>132.6</v>
      </c>
      <c r="K76" s="3">
        <v>121.8</v>
      </c>
      <c r="L76" s="3">
        <v>109</v>
      </c>
      <c r="M76" s="3">
        <v>139.5</v>
      </c>
      <c r="N76" s="3">
        <v>133.69999999999999</v>
      </c>
      <c r="O76" s="3">
        <v>155.19999999999999</v>
      </c>
      <c r="P76" s="3">
        <v>163.5</v>
      </c>
      <c r="Q76" s="3">
        <v>147.9</v>
      </c>
      <c r="R76" s="3">
        <v>139.9</v>
      </c>
      <c r="S76" s="3">
        <v>149</v>
      </c>
      <c r="T76" s="3">
        <v>139.69999999999999</v>
      </c>
      <c r="U76" s="3">
        <v>143.80000000000001</v>
      </c>
      <c r="V76" s="3">
        <v>146.19999999999999</v>
      </c>
      <c r="W76" s="3">
        <v>124.6</v>
      </c>
      <c r="X76" s="3">
        <v>137.69999999999999</v>
      </c>
      <c r="Y76" s="3">
        <v>150.30000000000001</v>
      </c>
      <c r="Z76" s="3">
        <v>133.4</v>
      </c>
      <c r="AA76" s="3">
        <v>137.69999999999999</v>
      </c>
      <c r="AB76" s="3">
        <v>140.4</v>
      </c>
      <c r="AC76" s="8">
        <v>43525</v>
      </c>
      <c r="AD76" s="11">
        <f t="shared" si="0"/>
        <v>2.8571428571428612</v>
      </c>
    </row>
    <row r="77" spans="1:30" x14ac:dyDescent="0.35">
      <c r="A77" s="4" t="s">
        <v>34</v>
      </c>
      <c r="B77" s="2">
        <v>2019</v>
      </c>
      <c r="C77" s="2" t="s">
        <v>38</v>
      </c>
      <c r="D77" s="2">
        <v>138.30000000000001</v>
      </c>
      <c r="E77" s="2">
        <v>158.5</v>
      </c>
      <c r="F77" s="2">
        <v>136</v>
      </c>
      <c r="G77" s="2">
        <v>142.5</v>
      </c>
      <c r="H77" s="2">
        <v>122</v>
      </c>
      <c r="I77" s="2">
        <v>146.5</v>
      </c>
      <c r="J77" s="2">
        <v>143</v>
      </c>
      <c r="K77" s="2">
        <v>124.9</v>
      </c>
      <c r="L77" s="2">
        <v>109.9</v>
      </c>
      <c r="M77" s="2">
        <v>139.9</v>
      </c>
      <c r="N77" s="2">
        <v>134</v>
      </c>
      <c r="O77" s="2">
        <v>155.5</v>
      </c>
      <c r="P77" s="2">
        <v>164.1</v>
      </c>
      <c r="Q77" s="2">
        <v>148.4</v>
      </c>
      <c r="R77" s="2">
        <v>140.4</v>
      </c>
      <c r="S77" s="2">
        <v>150.1</v>
      </c>
      <c r="T77" s="2">
        <v>140.30000000000001</v>
      </c>
      <c r="U77" s="2">
        <v>143.69999999999999</v>
      </c>
      <c r="V77" s="2">
        <v>146.9</v>
      </c>
      <c r="W77" s="2">
        <v>124.9</v>
      </c>
      <c r="X77" s="2">
        <v>139.19999999999999</v>
      </c>
      <c r="Y77" s="2">
        <v>151.6</v>
      </c>
      <c r="Z77" s="2">
        <v>133.4</v>
      </c>
      <c r="AA77" s="2">
        <v>138.19999999999999</v>
      </c>
      <c r="AB77" s="2">
        <v>142</v>
      </c>
      <c r="AC77" s="9">
        <v>43586</v>
      </c>
      <c r="AD77" s="11">
        <f t="shared" si="0"/>
        <v>3.5740335521517181</v>
      </c>
    </row>
    <row r="78" spans="1:30" x14ac:dyDescent="0.35">
      <c r="A78" s="5" t="s">
        <v>34</v>
      </c>
      <c r="B78" s="3">
        <v>2019</v>
      </c>
      <c r="C78" s="3" t="s">
        <v>39</v>
      </c>
      <c r="D78" s="3">
        <v>138.69999999999999</v>
      </c>
      <c r="E78" s="3">
        <v>162.1</v>
      </c>
      <c r="F78" s="3">
        <v>137.80000000000001</v>
      </c>
      <c r="G78" s="3">
        <v>143.30000000000001</v>
      </c>
      <c r="H78" s="3">
        <v>122.2</v>
      </c>
      <c r="I78" s="3">
        <v>146.80000000000001</v>
      </c>
      <c r="J78" s="3">
        <v>150.5</v>
      </c>
      <c r="K78" s="3">
        <v>128.30000000000001</v>
      </c>
      <c r="L78" s="3">
        <v>111</v>
      </c>
      <c r="M78" s="3">
        <v>140.6</v>
      </c>
      <c r="N78" s="3">
        <v>134.19999999999999</v>
      </c>
      <c r="O78" s="3">
        <v>155.9</v>
      </c>
      <c r="P78" s="3">
        <v>164.9</v>
      </c>
      <c r="Q78" s="3">
        <v>148.6</v>
      </c>
      <c r="R78" s="3">
        <v>140.4</v>
      </c>
      <c r="S78" s="3">
        <v>149.4</v>
      </c>
      <c r="T78" s="3">
        <v>141.19999999999999</v>
      </c>
      <c r="U78" s="3">
        <v>143.80000000000001</v>
      </c>
      <c r="V78" s="3">
        <v>147.4</v>
      </c>
      <c r="W78" s="3">
        <v>124.6</v>
      </c>
      <c r="X78" s="3">
        <v>139.6</v>
      </c>
      <c r="Y78" s="3">
        <v>152.5</v>
      </c>
      <c r="Z78" s="3">
        <v>134.30000000000001</v>
      </c>
      <c r="AA78" s="3">
        <v>138.6</v>
      </c>
      <c r="AB78" s="3">
        <v>142.9</v>
      </c>
      <c r="AC78" s="8">
        <v>43617</v>
      </c>
      <c r="AD78" s="11">
        <f t="shared" si="0"/>
        <v>3.7010159651669037</v>
      </c>
    </row>
    <row r="79" spans="1:30" x14ac:dyDescent="0.35">
      <c r="A79" s="4" t="s">
        <v>34</v>
      </c>
      <c r="B79" s="2">
        <v>2019</v>
      </c>
      <c r="C79" s="2" t="s">
        <v>40</v>
      </c>
      <c r="D79" s="2">
        <v>139.30000000000001</v>
      </c>
      <c r="E79" s="2">
        <v>162.69999999999999</v>
      </c>
      <c r="F79" s="2">
        <v>140</v>
      </c>
      <c r="G79" s="2">
        <v>144</v>
      </c>
      <c r="H79" s="2">
        <v>122.5</v>
      </c>
      <c r="I79" s="2">
        <v>150.30000000000001</v>
      </c>
      <c r="J79" s="2">
        <v>160.30000000000001</v>
      </c>
      <c r="K79" s="2">
        <v>130</v>
      </c>
      <c r="L79" s="2">
        <v>111.1</v>
      </c>
      <c r="M79" s="2">
        <v>141.69999999999999</v>
      </c>
      <c r="N79" s="2">
        <v>134.69999999999999</v>
      </c>
      <c r="O79" s="2">
        <v>156.19999999999999</v>
      </c>
      <c r="P79" s="2">
        <v>165.2</v>
      </c>
      <c r="Q79" s="2">
        <v>148.9</v>
      </c>
      <c r="R79" s="2">
        <v>140.5</v>
      </c>
      <c r="S79" s="2">
        <v>150.6</v>
      </c>
      <c r="T79" s="2">
        <v>139.30000000000001</v>
      </c>
      <c r="U79" s="2">
        <v>144.19999999999999</v>
      </c>
      <c r="V79" s="2">
        <v>147.9</v>
      </c>
      <c r="W79" s="2">
        <v>125.6</v>
      </c>
      <c r="X79" s="2">
        <v>140.5</v>
      </c>
      <c r="Y79" s="2">
        <v>154</v>
      </c>
      <c r="Z79" s="2">
        <v>135.69999999999999</v>
      </c>
      <c r="AA79" s="2">
        <v>139.5</v>
      </c>
      <c r="AB79" s="2">
        <v>144.19999999999999</v>
      </c>
      <c r="AC79" s="9">
        <v>43647</v>
      </c>
      <c r="AD79" s="11">
        <f t="shared" ref="AD79:AD125" si="1">((AB79-AB67)/AB67)*100</f>
        <v>4.115523465703963</v>
      </c>
    </row>
    <row r="80" spans="1:30" x14ac:dyDescent="0.35">
      <c r="A80" s="5" t="s">
        <v>34</v>
      </c>
      <c r="B80" s="3">
        <v>2019</v>
      </c>
      <c r="C80" s="3" t="s">
        <v>41</v>
      </c>
      <c r="D80" s="3">
        <v>140.1</v>
      </c>
      <c r="E80" s="3">
        <v>160.6</v>
      </c>
      <c r="F80" s="3">
        <v>138.5</v>
      </c>
      <c r="G80" s="3">
        <v>144.69999999999999</v>
      </c>
      <c r="H80" s="3">
        <v>122.9</v>
      </c>
      <c r="I80" s="3">
        <v>149.4</v>
      </c>
      <c r="J80" s="3">
        <v>167.4</v>
      </c>
      <c r="K80" s="3">
        <v>130.9</v>
      </c>
      <c r="L80" s="3">
        <v>112</v>
      </c>
      <c r="M80" s="3">
        <v>142.6</v>
      </c>
      <c r="N80" s="3">
        <v>134.9</v>
      </c>
      <c r="O80" s="3">
        <v>156.6</v>
      </c>
      <c r="P80" s="3">
        <v>165.8</v>
      </c>
      <c r="Q80" s="3">
        <v>149.1</v>
      </c>
      <c r="R80" s="3">
        <v>140.6</v>
      </c>
      <c r="S80" s="3">
        <v>151.6</v>
      </c>
      <c r="T80" s="3">
        <v>138.5</v>
      </c>
      <c r="U80" s="3">
        <v>144.5</v>
      </c>
      <c r="V80" s="3">
        <v>148.5</v>
      </c>
      <c r="W80" s="3">
        <v>125.8</v>
      </c>
      <c r="X80" s="3">
        <v>140.9</v>
      </c>
      <c r="Y80" s="3">
        <v>154.9</v>
      </c>
      <c r="Z80" s="3">
        <v>138.4</v>
      </c>
      <c r="AA80" s="3">
        <v>140.19999999999999</v>
      </c>
      <c r="AB80" s="3">
        <v>145</v>
      </c>
      <c r="AC80" s="8">
        <v>43678</v>
      </c>
      <c r="AD80" s="11">
        <f t="shared" si="1"/>
        <v>3.7195994277539257</v>
      </c>
    </row>
    <row r="81" spans="1:30" x14ac:dyDescent="0.35">
      <c r="A81" s="4" t="s">
        <v>34</v>
      </c>
      <c r="B81" s="2">
        <v>2019</v>
      </c>
      <c r="C81" s="2" t="s">
        <v>42</v>
      </c>
      <c r="D81" s="2">
        <v>140.9</v>
      </c>
      <c r="E81" s="2">
        <v>160.80000000000001</v>
      </c>
      <c r="F81" s="2">
        <v>139.6</v>
      </c>
      <c r="G81" s="2">
        <v>145.4</v>
      </c>
      <c r="H81" s="2">
        <v>123.5</v>
      </c>
      <c r="I81" s="2">
        <v>146.6</v>
      </c>
      <c r="J81" s="2">
        <v>173.2</v>
      </c>
      <c r="K81" s="2">
        <v>131.6</v>
      </c>
      <c r="L81" s="2">
        <v>113.2</v>
      </c>
      <c r="M81" s="2">
        <v>144.1</v>
      </c>
      <c r="N81" s="2">
        <v>135</v>
      </c>
      <c r="O81" s="2">
        <v>156.80000000000001</v>
      </c>
      <c r="P81" s="2">
        <v>166.5</v>
      </c>
      <c r="Q81" s="2">
        <v>149.19999999999999</v>
      </c>
      <c r="R81" s="2">
        <v>140.6</v>
      </c>
      <c r="S81" s="2">
        <v>152.19999999999999</v>
      </c>
      <c r="T81" s="2">
        <v>139.19999999999999</v>
      </c>
      <c r="U81" s="2">
        <v>144.6</v>
      </c>
      <c r="V81" s="2">
        <v>149</v>
      </c>
      <c r="W81" s="2">
        <v>126.1</v>
      </c>
      <c r="X81" s="2">
        <v>141.30000000000001</v>
      </c>
      <c r="Y81" s="2">
        <v>155.19999999999999</v>
      </c>
      <c r="Z81" s="2">
        <v>139.69999999999999</v>
      </c>
      <c r="AA81" s="2">
        <v>140.69999999999999</v>
      </c>
      <c r="AB81" s="2">
        <v>145.80000000000001</v>
      </c>
      <c r="AC81" s="9">
        <v>43709</v>
      </c>
      <c r="AD81" s="11">
        <f t="shared" si="1"/>
        <v>3.8461538461538498</v>
      </c>
    </row>
    <row r="82" spans="1:30" x14ac:dyDescent="0.35">
      <c r="A82" s="5" t="s">
        <v>34</v>
      </c>
      <c r="B82" s="3">
        <v>2019</v>
      </c>
      <c r="C82" s="3" t="s">
        <v>43</v>
      </c>
      <c r="D82" s="3">
        <v>141.80000000000001</v>
      </c>
      <c r="E82" s="3">
        <v>161</v>
      </c>
      <c r="F82" s="3">
        <v>142.6</v>
      </c>
      <c r="G82" s="3">
        <v>146.19999999999999</v>
      </c>
      <c r="H82" s="3">
        <v>123.9</v>
      </c>
      <c r="I82" s="3">
        <v>148</v>
      </c>
      <c r="J82" s="3">
        <v>188.4</v>
      </c>
      <c r="K82" s="3">
        <v>132.5</v>
      </c>
      <c r="L82" s="3">
        <v>114</v>
      </c>
      <c r="M82" s="3">
        <v>145.4</v>
      </c>
      <c r="N82" s="3">
        <v>135.1</v>
      </c>
      <c r="O82" s="3">
        <v>157.1</v>
      </c>
      <c r="P82" s="3">
        <v>167.1</v>
      </c>
      <c r="Q82" s="3">
        <v>149.4</v>
      </c>
      <c r="R82" s="3">
        <v>140.80000000000001</v>
      </c>
      <c r="S82" s="3">
        <v>153</v>
      </c>
      <c r="T82" s="3">
        <v>140.6</v>
      </c>
      <c r="U82" s="3">
        <v>145</v>
      </c>
      <c r="V82" s="3">
        <v>149.4</v>
      </c>
      <c r="W82" s="3">
        <v>126.3</v>
      </c>
      <c r="X82" s="3">
        <v>141.69999999999999</v>
      </c>
      <c r="Y82" s="3">
        <v>155.4</v>
      </c>
      <c r="Z82" s="3">
        <v>140</v>
      </c>
      <c r="AA82" s="3">
        <v>141</v>
      </c>
      <c r="AB82" s="3">
        <v>147.19999999999999</v>
      </c>
      <c r="AC82" s="8">
        <v>43739</v>
      </c>
      <c r="AD82" s="11">
        <f t="shared" si="1"/>
        <v>4.9928673323823114</v>
      </c>
    </row>
    <row r="83" spans="1:30" x14ac:dyDescent="0.35">
      <c r="A83" s="4" t="s">
        <v>34</v>
      </c>
      <c r="B83" s="2">
        <v>2019</v>
      </c>
      <c r="C83" s="2" t="s">
        <v>45</v>
      </c>
      <c r="D83" s="2">
        <v>142.5</v>
      </c>
      <c r="E83" s="2">
        <v>163.19999999999999</v>
      </c>
      <c r="F83" s="2">
        <v>145.6</v>
      </c>
      <c r="G83" s="2">
        <v>146.69999999999999</v>
      </c>
      <c r="H83" s="2">
        <v>124.3</v>
      </c>
      <c r="I83" s="2">
        <v>147.4</v>
      </c>
      <c r="J83" s="2">
        <v>199.6</v>
      </c>
      <c r="K83" s="2">
        <v>135.69999999999999</v>
      </c>
      <c r="L83" s="2">
        <v>114.2</v>
      </c>
      <c r="M83" s="2">
        <v>147</v>
      </c>
      <c r="N83" s="2">
        <v>135.30000000000001</v>
      </c>
      <c r="O83" s="2">
        <v>157.5</v>
      </c>
      <c r="P83" s="2">
        <v>167.9</v>
      </c>
      <c r="Q83" s="2">
        <v>149.9</v>
      </c>
      <c r="R83" s="2">
        <v>141</v>
      </c>
      <c r="S83" s="2">
        <v>153.5</v>
      </c>
      <c r="T83" s="2">
        <v>142.30000000000001</v>
      </c>
      <c r="U83" s="2">
        <v>145.30000000000001</v>
      </c>
      <c r="V83" s="2">
        <v>149.9</v>
      </c>
      <c r="W83" s="2">
        <v>126.6</v>
      </c>
      <c r="X83" s="2">
        <v>142.1</v>
      </c>
      <c r="Y83" s="2">
        <v>155.5</v>
      </c>
      <c r="Z83" s="2">
        <v>140.30000000000001</v>
      </c>
      <c r="AA83" s="2">
        <v>141.30000000000001</v>
      </c>
      <c r="AB83" s="2">
        <v>148.6</v>
      </c>
      <c r="AC83" s="9">
        <v>43770</v>
      </c>
      <c r="AD83" s="11">
        <f t="shared" si="1"/>
        <v>5.5397727272727151</v>
      </c>
    </row>
    <row r="84" spans="1:30" x14ac:dyDescent="0.35">
      <c r="A84" s="5" t="s">
        <v>34</v>
      </c>
      <c r="B84" s="3">
        <v>2019</v>
      </c>
      <c r="C84" s="3" t="s">
        <v>46</v>
      </c>
      <c r="D84" s="3">
        <v>143.5</v>
      </c>
      <c r="E84" s="3">
        <v>165</v>
      </c>
      <c r="F84" s="3">
        <v>151.1</v>
      </c>
      <c r="G84" s="3">
        <v>148.30000000000001</v>
      </c>
      <c r="H84" s="3">
        <v>125.7</v>
      </c>
      <c r="I84" s="3">
        <v>145.69999999999999</v>
      </c>
      <c r="J84" s="3">
        <v>217</v>
      </c>
      <c r="K84" s="3">
        <v>138.30000000000001</v>
      </c>
      <c r="L84" s="3">
        <v>114</v>
      </c>
      <c r="M84" s="3">
        <v>148.69999999999999</v>
      </c>
      <c r="N84" s="3">
        <v>135.80000000000001</v>
      </c>
      <c r="O84" s="3">
        <v>158</v>
      </c>
      <c r="P84" s="3">
        <v>168.5</v>
      </c>
      <c r="Q84" s="3">
        <v>150.30000000000001</v>
      </c>
      <c r="R84" s="3">
        <v>141.30000000000001</v>
      </c>
      <c r="S84" s="3">
        <v>152.80000000000001</v>
      </c>
      <c r="T84" s="3">
        <v>143.69999999999999</v>
      </c>
      <c r="U84" s="3">
        <v>145.80000000000001</v>
      </c>
      <c r="V84" s="3">
        <v>150.4</v>
      </c>
      <c r="W84" s="3">
        <v>129.80000000000001</v>
      </c>
      <c r="X84" s="3">
        <v>142.30000000000001</v>
      </c>
      <c r="Y84" s="3">
        <v>155.69999999999999</v>
      </c>
      <c r="Z84" s="3">
        <v>140.4</v>
      </c>
      <c r="AA84" s="3">
        <v>142.5</v>
      </c>
      <c r="AB84" s="3">
        <v>150.4</v>
      </c>
      <c r="AC84" s="8">
        <v>43800</v>
      </c>
      <c r="AD84" s="11">
        <f t="shared" si="1"/>
        <v>6.8181818181818139</v>
      </c>
    </row>
    <row r="85" spans="1:30" x14ac:dyDescent="0.35">
      <c r="A85" s="4" t="s">
        <v>34</v>
      </c>
      <c r="B85" s="2">
        <v>2020</v>
      </c>
      <c r="C85" s="2" t="s">
        <v>31</v>
      </c>
      <c r="D85" s="2">
        <v>144.30000000000001</v>
      </c>
      <c r="E85" s="2">
        <v>167.4</v>
      </c>
      <c r="F85" s="2">
        <v>154.9</v>
      </c>
      <c r="G85" s="2">
        <v>150.1</v>
      </c>
      <c r="H85" s="2">
        <v>129.9</v>
      </c>
      <c r="I85" s="2">
        <v>143.19999999999999</v>
      </c>
      <c r="J85" s="2">
        <v>197</v>
      </c>
      <c r="K85" s="2">
        <v>140.4</v>
      </c>
      <c r="L85" s="2">
        <v>114.1</v>
      </c>
      <c r="M85" s="2">
        <v>150.9</v>
      </c>
      <c r="N85" s="2">
        <v>136.1</v>
      </c>
      <c r="O85" s="2">
        <v>158.6</v>
      </c>
      <c r="P85" s="2">
        <v>169.2</v>
      </c>
      <c r="Q85" s="2">
        <v>150.5</v>
      </c>
      <c r="R85" s="2">
        <v>141.5</v>
      </c>
      <c r="S85" s="2">
        <v>153.9</v>
      </c>
      <c r="T85" s="2">
        <v>144.6</v>
      </c>
      <c r="U85" s="2">
        <v>146.19999999999999</v>
      </c>
      <c r="V85" s="2">
        <v>151.19999999999999</v>
      </c>
      <c r="W85" s="2">
        <v>130.9</v>
      </c>
      <c r="X85" s="2">
        <v>142.80000000000001</v>
      </c>
      <c r="Y85" s="2">
        <v>156.1</v>
      </c>
      <c r="Z85" s="2">
        <v>142.30000000000001</v>
      </c>
      <c r="AA85" s="2">
        <v>143.4</v>
      </c>
      <c r="AB85" s="2">
        <v>150.19999999999999</v>
      </c>
      <c r="AC85" s="9">
        <v>43831</v>
      </c>
      <c r="AD85" s="11">
        <f t="shared" si="1"/>
        <v>7.2091363311920027</v>
      </c>
    </row>
    <row r="86" spans="1:30" x14ac:dyDescent="0.35">
      <c r="A86" s="5" t="s">
        <v>34</v>
      </c>
      <c r="B86" s="3">
        <v>2020</v>
      </c>
      <c r="C86" s="3" t="s">
        <v>35</v>
      </c>
      <c r="D86" s="3">
        <v>144.80000000000001</v>
      </c>
      <c r="E86" s="3">
        <v>167.5</v>
      </c>
      <c r="F86" s="3">
        <v>151.80000000000001</v>
      </c>
      <c r="G86" s="3">
        <v>150.80000000000001</v>
      </c>
      <c r="H86" s="3">
        <v>131.4</v>
      </c>
      <c r="I86" s="3">
        <v>141.80000000000001</v>
      </c>
      <c r="J86" s="3">
        <v>170.7</v>
      </c>
      <c r="K86" s="3">
        <v>141.1</v>
      </c>
      <c r="L86" s="3">
        <v>113.6</v>
      </c>
      <c r="M86" s="3">
        <v>152</v>
      </c>
      <c r="N86" s="3">
        <v>136.5</v>
      </c>
      <c r="O86" s="3">
        <v>159.1</v>
      </c>
      <c r="P86" s="3">
        <v>170.1</v>
      </c>
      <c r="Q86" s="3">
        <v>150.80000000000001</v>
      </c>
      <c r="R86" s="3">
        <v>141.69999999999999</v>
      </c>
      <c r="S86" s="3">
        <v>154.80000000000001</v>
      </c>
      <c r="T86" s="3">
        <v>147.19999999999999</v>
      </c>
      <c r="U86" s="3">
        <v>146.4</v>
      </c>
      <c r="V86" s="3">
        <v>151.69999999999999</v>
      </c>
      <c r="W86" s="3">
        <v>130.30000000000001</v>
      </c>
      <c r="X86" s="3">
        <v>143.19999999999999</v>
      </c>
      <c r="Y86" s="3">
        <v>156.19999999999999</v>
      </c>
      <c r="Z86" s="3">
        <v>143.4</v>
      </c>
      <c r="AA86" s="3">
        <v>143.6</v>
      </c>
      <c r="AB86" s="3">
        <v>149.1</v>
      </c>
      <c r="AC86" s="8">
        <v>43862</v>
      </c>
      <c r="AD86" s="11">
        <f t="shared" si="1"/>
        <v>6.8051575931232096</v>
      </c>
    </row>
    <row r="87" spans="1:30" x14ac:dyDescent="0.35">
      <c r="A87" s="4" t="s">
        <v>34</v>
      </c>
      <c r="B87" s="2">
        <v>2020</v>
      </c>
      <c r="C87" s="2" t="s">
        <v>36</v>
      </c>
      <c r="D87" s="2">
        <v>145.1</v>
      </c>
      <c r="E87" s="2">
        <v>167</v>
      </c>
      <c r="F87" s="2">
        <v>148.1</v>
      </c>
      <c r="G87" s="2">
        <v>151.5</v>
      </c>
      <c r="H87" s="2">
        <v>131.19999999999999</v>
      </c>
      <c r="I87" s="2">
        <v>142.5</v>
      </c>
      <c r="J87" s="2">
        <v>157.30000000000001</v>
      </c>
      <c r="K87" s="2">
        <v>141.1</v>
      </c>
      <c r="L87" s="2">
        <v>113.2</v>
      </c>
      <c r="M87" s="2">
        <v>153.19999999999999</v>
      </c>
      <c r="N87" s="2">
        <v>136.69999999999999</v>
      </c>
      <c r="O87" s="2">
        <v>159.6</v>
      </c>
      <c r="P87" s="2">
        <v>171.2</v>
      </c>
      <c r="Q87" s="2">
        <v>151.19999999999999</v>
      </c>
      <c r="R87" s="2">
        <v>141.9</v>
      </c>
      <c r="S87" s="2">
        <v>154.5</v>
      </c>
      <c r="T87" s="2">
        <v>148.9</v>
      </c>
      <c r="U87" s="2">
        <v>146.4</v>
      </c>
      <c r="V87" s="2">
        <v>152.30000000000001</v>
      </c>
      <c r="W87" s="2">
        <v>129.9</v>
      </c>
      <c r="X87" s="2">
        <v>143.69999999999999</v>
      </c>
      <c r="Y87" s="2">
        <v>156.1</v>
      </c>
      <c r="Z87" s="2">
        <v>145.19999999999999</v>
      </c>
      <c r="AA87" s="2">
        <v>143.80000000000001</v>
      </c>
      <c r="AB87" s="2">
        <v>148.6</v>
      </c>
      <c r="AC87" s="9">
        <v>43891</v>
      </c>
      <c r="AD87" s="11">
        <f t="shared" si="1"/>
        <v>6.2187276626161463</v>
      </c>
    </row>
    <row r="88" spans="1:30" x14ac:dyDescent="0.35">
      <c r="A88" s="5" t="s">
        <v>34</v>
      </c>
      <c r="B88" s="3">
        <v>2020</v>
      </c>
      <c r="C88" s="3" t="s">
        <v>37</v>
      </c>
      <c r="D88" s="3">
        <v>148.69999999999999</v>
      </c>
      <c r="E88" s="3">
        <v>179.85</v>
      </c>
      <c r="F88" s="3">
        <v>148.80000000000001</v>
      </c>
      <c r="G88" s="3">
        <v>155.6</v>
      </c>
      <c r="H88" s="3">
        <v>135.1</v>
      </c>
      <c r="I88" s="3">
        <v>149.9</v>
      </c>
      <c r="J88" s="3">
        <v>168.6</v>
      </c>
      <c r="K88" s="3">
        <v>150.4</v>
      </c>
      <c r="L88" s="3">
        <v>120.3</v>
      </c>
      <c r="M88" s="3">
        <v>157.1</v>
      </c>
      <c r="N88" s="3">
        <v>136.80000000000001</v>
      </c>
      <c r="O88" s="3">
        <v>160.69999999999999</v>
      </c>
      <c r="P88" s="3">
        <v>177.35</v>
      </c>
      <c r="Q88" s="3">
        <v>151.85</v>
      </c>
      <c r="R88" s="3">
        <v>143.15</v>
      </c>
      <c r="S88" s="3">
        <v>155.6</v>
      </c>
      <c r="T88" s="3">
        <v>144.1</v>
      </c>
      <c r="U88" s="3">
        <v>146.4</v>
      </c>
      <c r="V88" s="3">
        <v>150.69999999999999</v>
      </c>
      <c r="W88" s="3">
        <v>132.44999999999999</v>
      </c>
      <c r="X88" s="3">
        <v>146</v>
      </c>
      <c r="Y88" s="3">
        <v>156.25</v>
      </c>
      <c r="Z88" s="3">
        <v>148.4</v>
      </c>
      <c r="AA88" s="3">
        <v>145.4</v>
      </c>
      <c r="AB88" s="3">
        <v>150.19999999999999</v>
      </c>
      <c r="AC88" s="8">
        <v>43922</v>
      </c>
      <c r="AD88" s="11">
        <f t="shared" si="1"/>
        <v>6.9800569800569674</v>
      </c>
    </row>
    <row r="89" spans="1:30" x14ac:dyDescent="0.35">
      <c r="A89" s="4" t="s">
        <v>34</v>
      </c>
      <c r="B89" s="2">
        <v>2020</v>
      </c>
      <c r="C89" s="2" t="s">
        <v>38</v>
      </c>
      <c r="D89" s="2">
        <v>149.15</v>
      </c>
      <c r="E89" s="2">
        <v>186.28</v>
      </c>
      <c r="F89" s="2">
        <v>150.1</v>
      </c>
      <c r="G89" s="2">
        <v>154.44999999999999</v>
      </c>
      <c r="H89" s="2">
        <v>135.54</v>
      </c>
      <c r="I89" s="2">
        <v>148.19</v>
      </c>
      <c r="J89" s="2">
        <v>162.55000000000001</v>
      </c>
      <c r="K89" s="2">
        <v>150.65</v>
      </c>
      <c r="L89" s="2">
        <v>117.25</v>
      </c>
      <c r="M89" s="2">
        <v>156.4</v>
      </c>
      <c r="N89" s="2">
        <v>138.1</v>
      </c>
      <c r="O89" s="2">
        <v>161.25</v>
      </c>
      <c r="P89" s="2">
        <v>180.43</v>
      </c>
      <c r="Q89" s="2">
        <v>152.18</v>
      </c>
      <c r="R89" s="2">
        <v>143.78</v>
      </c>
      <c r="S89" s="2">
        <v>139.19999999999999</v>
      </c>
      <c r="T89" s="2">
        <v>143</v>
      </c>
      <c r="U89" s="2">
        <v>146.4</v>
      </c>
      <c r="V89" s="2">
        <v>152.55000000000001</v>
      </c>
      <c r="W89" s="2">
        <v>133.72999999999999</v>
      </c>
      <c r="X89" s="2">
        <v>147.15</v>
      </c>
      <c r="Y89" s="2">
        <v>156.33000000000001</v>
      </c>
      <c r="Z89" s="2">
        <v>150</v>
      </c>
      <c r="AA89" s="2">
        <v>146.19999999999999</v>
      </c>
      <c r="AB89" s="2">
        <v>151</v>
      </c>
      <c r="AC89" s="9">
        <v>43952</v>
      </c>
      <c r="AD89" s="11">
        <f t="shared" si="1"/>
        <v>6.3380281690140841</v>
      </c>
    </row>
    <row r="90" spans="1:30" x14ac:dyDescent="0.35">
      <c r="A90" s="5" t="s">
        <v>34</v>
      </c>
      <c r="B90" s="3">
        <v>2020</v>
      </c>
      <c r="C90" s="3" t="s">
        <v>39</v>
      </c>
      <c r="D90" s="3">
        <v>149.6</v>
      </c>
      <c r="E90" s="3">
        <v>192.7</v>
      </c>
      <c r="F90" s="3">
        <v>151.4</v>
      </c>
      <c r="G90" s="3">
        <v>153.30000000000001</v>
      </c>
      <c r="H90" s="3">
        <v>136.30000000000001</v>
      </c>
      <c r="I90" s="3">
        <v>147.19999999999999</v>
      </c>
      <c r="J90" s="3">
        <v>156.5</v>
      </c>
      <c r="K90" s="3">
        <v>150.9</v>
      </c>
      <c r="L90" s="3">
        <v>114.2</v>
      </c>
      <c r="M90" s="3">
        <v>159.5</v>
      </c>
      <c r="N90" s="3">
        <v>139.4</v>
      </c>
      <c r="O90" s="3">
        <v>161.80000000000001</v>
      </c>
      <c r="P90" s="3">
        <v>183.5</v>
      </c>
      <c r="Q90" s="3">
        <v>152.5</v>
      </c>
      <c r="R90" s="3">
        <v>144.4</v>
      </c>
      <c r="S90" s="3">
        <v>154.69999999999999</v>
      </c>
      <c r="T90" s="3">
        <v>141.9</v>
      </c>
      <c r="U90" s="3">
        <v>146.4</v>
      </c>
      <c r="V90" s="3">
        <v>154.4</v>
      </c>
      <c r="W90" s="3">
        <v>135</v>
      </c>
      <c r="X90" s="3">
        <v>148.30000000000001</v>
      </c>
      <c r="Y90" s="3">
        <v>156.4</v>
      </c>
      <c r="Z90" s="3">
        <v>151.6</v>
      </c>
      <c r="AA90" s="3">
        <v>147</v>
      </c>
      <c r="AB90" s="3">
        <v>151.80000000000001</v>
      </c>
      <c r="AC90" s="8">
        <v>43983</v>
      </c>
      <c r="AD90" s="11">
        <f t="shared" si="1"/>
        <v>6.2281315605318444</v>
      </c>
    </row>
    <row r="91" spans="1:30" x14ac:dyDescent="0.35">
      <c r="A91" s="4" t="s">
        <v>34</v>
      </c>
      <c r="B91" s="2">
        <v>2020</v>
      </c>
      <c r="C91" s="2" t="s">
        <v>40</v>
      </c>
      <c r="D91" s="2">
        <v>149.6</v>
      </c>
      <c r="E91" s="2">
        <v>192.7</v>
      </c>
      <c r="F91" s="2">
        <v>151.4</v>
      </c>
      <c r="G91" s="2">
        <v>153.30000000000001</v>
      </c>
      <c r="H91" s="2">
        <v>136.30000000000001</v>
      </c>
      <c r="I91" s="2">
        <v>147.19999999999999</v>
      </c>
      <c r="J91" s="2">
        <v>156.5</v>
      </c>
      <c r="K91" s="2">
        <v>150.9</v>
      </c>
      <c r="L91" s="2">
        <v>114.2</v>
      </c>
      <c r="M91" s="2">
        <v>159.5</v>
      </c>
      <c r="N91" s="2">
        <v>139.4</v>
      </c>
      <c r="O91" s="2">
        <v>161.80000000000001</v>
      </c>
      <c r="P91" s="2">
        <v>183.5</v>
      </c>
      <c r="Q91" s="2">
        <v>152.5</v>
      </c>
      <c r="R91" s="2">
        <v>144.4</v>
      </c>
      <c r="S91" s="2">
        <v>154.69999999999999</v>
      </c>
      <c r="T91" s="2">
        <v>141.9</v>
      </c>
      <c r="U91" s="2">
        <v>146.4</v>
      </c>
      <c r="V91" s="2">
        <v>154.4</v>
      </c>
      <c r="W91" s="2">
        <v>135</v>
      </c>
      <c r="X91" s="2">
        <v>148.30000000000001</v>
      </c>
      <c r="Y91" s="2">
        <v>156.4</v>
      </c>
      <c r="Z91" s="2">
        <v>151.6</v>
      </c>
      <c r="AA91" s="2">
        <v>147</v>
      </c>
      <c r="AB91" s="2">
        <v>151.80000000000001</v>
      </c>
      <c r="AC91" s="9">
        <v>44013</v>
      </c>
      <c r="AD91" s="11">
        <f t="shared" si="1"/>
        <v>5.27045769764218</v>
      </c>
    </row>
    <row r="92" spans="1:30" x14ac:dyDescent="0.35">
      <c r="A92" s="5" t="s">
        <v>34</v>
      </c>
      <c r="B92" s="3">
        <v>2020</v>
      </c>
      <c r="C92" s="3" t="s">
        <v>41</v>
      </c>
      <c r="D92" s="3">
        <v>148.9</v>
      </c>
      <c r="E92" s="3">
        <v>190.9</v>
      </c>
      <c r="F92" s="3">
        <v>150.80000000000001</v>
      </c>
      <c r="G92" s="3">
        <v>153.30000000000001</v>
      </c>
      <c r="H92" s="3">
        <v>137.4</v>
      </c>
      <c r="I92" s="3">
        <v>150.4</v>
      </c>
      <c r="J92" s="3">
        <v>178.1</v>
      </c>
      <c r="K92" s="3">
        <v>150.4</v>
      </c>
      <c r="L92" s="3">
        <v>115.1</v>
      </c>
      <c r="M92" s="3">
        <v>160</v>
      </c>
      <c r="N92" s="3">
        <v>140.6</v>
      </c>
      <c r="O92" s="3">
        <v>162.30000000000001</v>
      </c>
      <c r="P92" s="3">
        <v>182.6</v>
      </c>
      <c r="Q92" s="3">
        <v>153.1</v>
      </c>
      <c r="R92" s="3">
        <v>143.4</v>
      </c>
      <c r="S92" s="3">
        <v>155.5</v>
      </c>
      <c r="T92" s="3">
        <v>143</v>
      </c>
      <c r="U92" s="3">
        <v>148.4</v>
      </c>
      <c r="V92" s="3">
        <v>155</v>
      </c>
      <c r="W92" s="3">
        <v>138.5</v>
      </c>
      <c r="X92" s="3">
        <v>146</v>
      </c>
      <c r="Y92" s="3">
        <v>158.5</v>
      </c>
      <c r="Z92" s="3">
        <v>154.30000000000001</v>
      </c>
      <c r="AA92" s="3">
        <v>149</v>
      </c>
      <c r="AB92" s="3">
        <v>153.9</v>
      </c>
      <c r="AC92" s="8">
        <v>44044</v>
      </c>
      <c r="AD92" s="11">
        <f t="shared" si="1"/>
        <v>6.1379310344827624</v>
      </c>
    </row>
    <row r="93" spans="1:30" x14ac:dyDescent="0.35">
      <c r="A93" s="4" t="s">
        <v>34</v>
      </c>
      <c r="B93" s="2">
        <v>2020</v>
      </c>
      <c r="C93" s="2" t="s">
        <v>42</v>
      </c>
      <c r="D93" s="2">
        <v>148.4</v>
      </c>
      <c r="E93" s="2">
        <v>187.1</v>
      </c>
      <c r="F93" s="2">
        <v>152.5</v>
      </c>
      <c r="G93" s="2">
        <v>153.6</v>
      </c>
      <c r="H93" s="2">
        <v>138.19999999999999</v>
      </c>
      <c r="I93" s="2">
        <v>150.9</v>
      </c>
      <c r="J93" s="2">
        <v>186.7</v>
      </c>
      <c r="K93" s="2">
        <v>149.80000000000001</v>
      </c>
      <c r="L93" s="2">
        <v>116.4</v>
      </c>
      <c r="M93" s="2">
        <v>160.30000000000001</v>
      </c>
      <c r="N93" s="2">
        <v>142.19999999999999</v>
      </c>
      <c r="O93" s="2">
        <v>162.9</v>
      </c>
      <c r="P93" s="2">
        <v>184.4</v>
      </c>
      <c r="Q93" s="2">
        <v>153.4</v>
      </c>
      <c r="R93" s="2">
        <v>144.30000000000001</v>
      </c>
      <c r="S93" s="2">
        <v>156.30000000000001</v>
      </c>
      <c r="T93" s="2">
        <v>142.9</v>
      </c>
      <c r="U93" s="2">
        <v>148.69999999999999</v>
      </c>
      <c r="V93" s="2">
        <v>155.6</v>
      </c>
      <c r="W93" s="2">
        <v>139.6</v>
      </c>
      <c r="X93" s="2">
        <v>146.6</v>
      </c>
      <c r="Y93" s="2">
        <v>157.5</v>
      </c>
      <c r="Z93" s="2">
        <v>158.4</v>
      </c>
      <c r="AA93" s="2">
        <v>150</v>
      </c>
      <c r="AB93" s="2">
        <v>154.69999999999999</v>
      </c>
      <c r="AC93" s="9">
        <v>44075</v>
      </c>
      <c r="AD93" s="11">
        <f t="shared" si="1"/>
        <v>6.1042524005486802</v>
      </c>
    </row>
    <row r="94" spans="1:30" x14ac:dyDescent="0.35">
      <c r="A94" s="5" t="s">
        <v>34</v>
      </c>
      <c r="B94" s="3">
        <v>2020</v>
      </c>
      <c r="C94" s="3" t="s">
        <v>43</v>
      </c>
      <c r="D94" s="3">
        <v>147.5</v>
      </c>
      <c r="E94" s="3">
        <v>188.9</v>
      </c>
      <c r="F94" s="3">
        <v>161.4</v>
      </c>
      <c r="G94" s="3">
        <v>153.6</v>
      </c>
      <c r="H94" s="3">
        <v>140.1</v>
      </c>
      <c r="I94" s="3">
        <v>151.19999999999999</v>
      </c>
      <c r="J94" s="3">
        <v>209.2</v>
      </c>
      <c r="K94" s="3">
        <v>150.9</v>
      </c>
      <c r="L94" s="3">
        <v>116.2</v>
      </c>
      <c r="M94" s="3">
        <v>161</v>
      </c>
      <c r="N94" s="3">
        <v>144</v>
      </c>
      <c r="O94" s="3">
        <v>163.19999999999999</v>
      </c>
      <c r="P94" s="3">
        <v>184.3</v>
      </c>
      <c r="Q94" s="3">
        <v>153.69999999999999</v>
      </c>
      <c r="R94" s="3">
        <v>144.6</v>
      </c>
      <c r="S94" s="3">
        <v>156.5</v>
      </c>
      <c r="T94" s="3">
        <v>143.1</v>
      </c>
      <c r="U94" s="3">
        <v>148.69999999999999</v>
      </c>
      <c r="V94" s="3">
        <v>156.30000000000001</v>
      </c>
      <c r="W94" s="3">
        <v>140.6</v>
      </c>
      <c r="X94" s="3">
        <v>146.5</v>
      </c>
      <c r="Y94" s="3">
        <v>158.5</v>
      </c>
      <c r="Z94" s="3">
        <v>157</v>
      </c>
      <c r="AA94" s="3">
        <v>150.4</v>
      </c>
      <c r="AB94" s="3">
        <v>156.4</v>
      </c>
      <c r="AC94" s="8">
        <v>44105</v>
      </c>
      <c r="AD94" s="11">
        <f t="shared" si="1"/>
        <v>6.2500000000000124</v>
      </c>
    </row>
    <row r="95" spans="1:30" x14ac:dyDescent="0.35">
      <c r="A95" s="4" t="s">
        <v>34</v>
      </c>
      <c r="B95" s="2">
        <v>2020</v>
      </c>
      <c r="C95" s="2" t="s">
        <v>45</v>
      </c>
      <c r="D95" s="2">
        <v>146.80000000000001</v>
      </c>
      <c r="E95" s="2">
        <v>191</v>
      </c>
      <c r="F95" s="2">
        <v>173.6</v>
      </c>
      <c r="G95" s="2">
        <v>153.80000000000001</v>
      </c>
      <c r="H95" s="2">
        <v>142.69999999999999</v>
      </c>
      <c r="I95" s="2">
        <v>148.4</v>
      </c>
      <c r="J95" s="2">
        <v>230</v>
      </c>
      <c r="K95" s="2">
        <v>156.80000000000001</v>
      </c>
      <c r="L95" s="2">
        <v>115.7</v>
      </c>
      <c r="M95" s="2">
        <v>161.80000000000001</v>
      </c>
      <c r="N95" s="2">
        <v>146.5</v>
      </c>
      <c r="O95" s="2">
        <v>163.80000000000001</v>
      </c>
      <c r="P95" s="2">
        <v>184.8</v>
      </c>
      <c r="Q95" s="2">
        <v>154.30000000000001</v>
      </c>
      <c r="R95" s="2">
        <v>144.9</v>
      </c>
      <c r="S95" s="2">
        <v>158</v>
      </c>
      <c r="T95" s="2">
        <v>143.6</v>
      </c>
      <c r="U95" s="2">
        <v>149.19999999999999</v>
      </c>
      <c r="V95" s="2">
        <v>157.19999999999999</v>
      </c>
      <c r="W95" s="2">
        <v>140.4</v>
      </c>
      <c r="X95" s="2">
        <v>148.4</v>
      </c>
      <c r="Y95" s="2">
        <v>158.6</v>
      </c>
      <c r="Z95" s="2">
        <v>156.9</v>
      </c>
      <c r="AA95" s="2">
        <v>150.69999999999999</v>
      </c>
      <c r="AB95" s="2">
        <v>158.4</v>
      </c>
      <c r="AC95" s="9">
        <v>44136</v>
      </c>
      <c r="AD95" s="11">
        <f t="shared" si="1"/>
        <v>6.594885598923292</v>
      </c>
    </row>
    <row r="96" spans="1:30" x14ac:dyDescent="0.35">
      <c r="A96" s="5" t="s">
        <v>34</v>
      </c>
      <c r="B96" s="3">
        <v>2020</v>
      </c>
      <c r="C96" s="3" t="s">
        <v>46</v>
      </c>
      <c r="D96" s="3">
        <v>146</v>
      </c>
      <c r="E96" s="3">
        <v>191</v>
      </c>
      <c r="F96" s="3">
        <v>175.3</v>
      </c>
      <c r="G96" s="3">
        <v>154.1</v>
      </c>
      <c r="H96" s="3">
        <v>146.6</v>
      </c>
      <c r="I96" s="3">
        <v>147.69999999999999</v>
      </c>
      <c r="J96" s="3">
        <v>230.5</v>
      </c>
      <c r="K96" s="3">
        <v>160.19999999999999</v>
      </c>
      <c r="L96" s="3">
        <v>115.3</v>
      </c>
      <c r="M96" s="3">
        <v>163</v>
      </c>
      <c r="N96" s="3">
        <v>149.19999999999999</v>
      </c>
      <c r="O96" s="3">
        <v>164.8</v>
      </c>
      <c r="P96" s="3">
        <v>185.4</v>
      </c>
      <c r="Q96" s="3">
        <v>155</v>
      </c>
      <c r="R96" s="3">
        <v>145.4</v>
      </c>
      <c r="S96" s="3">
        <v>158.4</v>
      </c>
      <c r="T96" s="3">
        <v>144.6</v>
      </c>
      <c r="U96" s="3">
        <v>149.69999999999999</v>
      </c>
      <c r="V96" s="3">
        <v>158.30000000000001</v>
      </c>
      <c r="W96" s="3">
        <v>140.69999999999999</v>
      </c>
      <c r="X96" s="3">
        <v>148.5</v>
      </c>
      <c r="Y96" s="3">
        <v>159.4</v>
      </c>
      <c r="Z96" s="3">
        <v>157.1</v>
      </c>
      <c r="AA96" s="3">
        <v>151.19999999999999</v>
      </c>
      <c r="AB96" s="3">
        <v>158.9</v>
      </c>
      <c r="AC96" s="8">
        <v>44166</v>
      </c>
      <c r="AD96" s="11">
        <f t="shared" si="1"/>
        <v>5.6515957446808507</v>
      </c>
    </row>
    <row r="97" spans="1:30" x14ac:dyDescent="0.35">
      <c r="A97" s="4" t="s">
        <v>34</v>
      </c>
      <c r="B97" s="2">
        <v>2021</v>
      </c>
      <c r="C97" s="2" t="s">
        <v>31</v>
      </c>
      <c r="D97" s="2">
        <v>144.9</v>
      </c>
      <c r="E97" s="2">
        <v>190.1</v>
      </c>
      <c r="F97" s="2">
        <v>175.3</v>
      </c>
      <c r="G97" s="2">
        <v>154.1</v>
      </c>
      <c r="H97" s="2">
        <v>150.9</v>
      </c>
      <c r="I97" s="2">
        <v>149.6</v>
      </c>
      <c r="J97" s="2">
        <v>194.2</v>
      </c>
      <c r="K97" s="2">
        <v>160.4</v>
      </c>
      <c r="L97" s="2">
        <v>114.6</v>
      </c>
      <c r="M97" s="2">
        <v>164</v>
      </c>
      <c r="N97" s="2">
        <v>151.80000000000001</v>
      </c>
      <c r="O97" s="2">
        <v>165.6</v>
      </c>
      <c r="P97" s="2">
        <v>186.5</v>
      </c>
      <c r="Q97" s="2">
        <v>155.5</v>
      </c>
      <c r="R97" s="2">
        <v>146.1</v>
      </c>
      <c r="S97" s="2">
        <v>157.69999999999999</v>
      </c>
      <c r="T97" s="2">
        <v>147.9</v>
      </c>
      <c r="U97" s="2">
        <v>150</v>
      </c>
      <c r="V97" s="2">
        <v>159.30000000000001</v>
      </c>
      <c r="W97" s="2">
        <v>141.9</v>
      </c>
      <c r="X97" s="2">
        <v>149.6</v>
      </c>
      <c r="Y97" s="2">
        <v>159.19999999999999</v>
      </c>
      <c r="Z97" s="2">
        <v>156.80000000000001</v>
      </c>
      <c r="AA97" s="2">
        <v>151.9</v>
      </c>
      <c r="AB97" s="2">
        <v>157.30000000000001</v>
      </c>
      <c r="AC97" s="9">
        <v>44197</v>
      </c>
      <c r="AD97" s="11">
        <f t="shared" si="1"/>
        <v>4.7270306258322385</v>
      </c>
    </row>
    <row r="98" spans="1:30" x14ac:dyDescent="0.35">
      <c r="A98" s="5" t="s">
        <v>34</v>
      </c>
      <c r="B98" s="3">
        <v>2021</v>
      </c>
      <c r="C98" s="3" t="s">
        <v>35</v>
      </c>
      <c r="D98" s="3">
        <v>144.30000000000001</v>
      </c>
      <c r="E98" s="3">
        <v>186.5</v>
      </c>
      <c r="F98" s="3">
        <v>168.7</v>
      </c>
      <c r="G98" s="3">
        <v>154.69999999999999</v>
      </c>
      <c r="H98" s="3">
        <v>158.69999999999999</v>
      </c>
      <c r="I98" s="3">
        <v>150.69999999999999</v>
      </c>
      <c r="J98" s="3">
        <v>160</v>
      </c>
      <c r="K98" s="3">
        <v>158.80000000000001</v>
      </c>
      <c r="L98" s="3">
        <v>112.8</v>
      </c>
      <c r="M98" s="3">
        <v>164.2</v>
      </c>
      <c r="N98" s="3">
        <v>155.5</v>
      </c>
      <c r="O98" s="3">
        <v>167.5</v>
      </c>
      <c r="P98" s="3">
        <v>188.3</v>
      </c>
      <c r="Q98" s="3">
        <v>157.19999999999999</v>
      </c>
      <c r="R98" s="3">
        <v>147.4</v>
      </c>
      <c r="S98" s="3">
        <v>159.80000000000001</v>
      </c>
      <c r="T98" s="3">
        <v>152.4</v>
      </c>
      <c r="U98" s="3">
        <v>150.9</v>
      </c>
      <c r="V98" s="3">
        <v>161.30000000000001</v>
      </c>
      <c r="W98" s="3">
        <v>145.1</v>
      </c>
      <c r="X98" s="3">
        <v>151.5</v>
      </c>
      <c r="Y98" s="3">
        <v>159.5</v>
      </c>
      <c r="Z98" s="3">
        <v>155.80000000000001</v>
      </c>
      <c r="AA98" s="3">
        <v>153.4</v>
      </c>
      <c r="AB98" s="3">
        <v>156.6</v>
      </c>
      <c r="AC98" s="8">
        <v>44228</v>
      </c>
      <c r="AD98" s="11">
        <f t="shared" si="1"/>
        <v>5.0301810865191152</v>
      </c>
    </row>
    <row r="99" spans="1:30" x14ac:dyDescent="0.35">
      <c r="A99" s="4" t="s">
        <v>34</v>
      </c>
      <c r="B99" s="2">
        <v>2021</v>
      </c>
      <c r="C99" s="2" t="s">
        <v>36</v>
      </c>
      <c r="D99" s="2">
        <v>144.1</v>
      </c>
      <c r="E99" s="2">
        <v>192.2</v>
      </c>
      <c r="F99" s="2">
        <v>163.80000000000001</v>
      </c>
      <c r="G99" s="2">
        <v>154.9</v>
      </c>
      <c r="H99" s="2">
        <v>163.9</v>
      </c>
      <c r="I99" s="2">
        <v>153.69999999999999</v>
      </c>
      <c r="J99" s="2">
        <v>149.5</v>
      </c>
      <c r="K99" s="2">
        <v>159.80000000000001</v>
      </c>
      <c r="L99" s="2">
        <v>112.6</v>
      </c>
      <c r="M99" s="2">
        <v>163.5</v>
      </c>
      <c r="N99" s="2">
        <v>156.5</v>
      </c>
      <c r="O99" s="2">
        <v>168.2</v>
      </c>
      <c r="P99" s="2">
        <v>188.1</v>
      </c>
      <c r="Q99" s="2">
        <v>157.80000000000001</v>
      </c>
      <c r="R99" s="2">
        <v>147.9</v>
      </c>
      <c r="S99" s="2">
        <v>159.9</v>
      </c>
      <c r="T99" s="2">
        <v>155.5</v>
      </c>
      <c r="U99" s="2">
        <v>151.19999999999999</v>
      </c>
      <c r="V99" s="2">
        <v>161.69999999999999</v>
      </c>
      <c r="W99" s="2">
        <v>146.19999999999999</v>
      </c>
      <c r="X99" s="2">
        <v>152.6</v>
      </c>
      <c r="Y99" s="2">
        <v>160.19999999999999</v>
      </c>
      <c r="Z99" s="2">
        <v>153.80000000000001</v>
      </c>
      <c r="AA99" s="2">
        <v>153.80000000000001</v>
      </c>
      <c r="AB99" s="2">
        <v>156.80000000000001</v>
      </c>
      <c r="AC99" s="9">
        <v>44256</v>
      </c>
      <c r="AD99" s="11">
        <f t="shared" si="1"/>
        <v>5.5181695827725559</v>
      </c>
    </row>
    <row r="100" spans="1:30" x14ac:dyDescent="0.35">
      <c r="A100" s="5" t="s">
        <v>34</v>
      </c>
      <c r="B100" s="3">
        <v>2021</v>
      </c>
      <c r="C100" s="3" t="s">
        <v>37</v>
      </c>
      <c r="D100" s="3">
        <v>144.30000000000001</v>
      </c>
      <c r="E100" s="3">
        <v>198</v>
      </c>
      <c r="F100" s="3">
        <v>164.6</v>
      </c>
      <c r="G100" s="3">
        <v>155.4</v>
      </c>
      <c r="H100" s="3">
        <v>170.1</v>
      </c>
      <c r="I100" s="3">
        <v>164.4</v>
      </c>
      <c r="J100" s="3">
        <v>144.1</v>
      </c>
      <c r="K100" s="3">
        <v>161.69999999999999</v>
      </c>
      <c r="L100" s="3">
        <v>113.1</v>
      </c>
      <c r="M100" s="3">
        <v>163.9</v>
      </c>
      <c r="N100" s="3">
        <v>157.6</v>
      </c>
      <c r="O100" s="3">
        <v>168.9</v>
      </c>
      <c r="P100" s="3">
        <v>188.8</v>
      </c>
      <c r="Q100" s="3">
        <v>158.80000000000001</v>
      </c>
      <c r="R100" s="3">
        <v>148.5</v>
      </c>
      <c r="S100" s="3">
        <v>161.4</v>
      </c>
      <c r="T100" s="3">
        <v>155.6</v>
      </c>
      <c r="U100" s="3">
        <v>151.80000000000001</v>
      </c>
      <c r="V100" s="3">
        <v>162.30000000000001</v>
      </c>
      <c r="W100" s="3">
        <v>146.6</v>
      </c>
      <c r="X100" s="3">
        <v>153.19999999999999</v>
      </c>
      <c r="Y100" s="3">
        <v>160.30000000000001</v>
      </c>
      <c r="Z100" s="3">
        <v>155.4</v>
      </c>
      <c r="AA100" s="3">
        <v>154.4</v>
      </c>
      <c r="AB100" s="3">
        <v>157.80000000000001</v>
      </c>
      <c r="AC100" s="8">
        <v>44287</v>
      </c>
      <c r="AD100" s="11">
        <f t="shared" si="1"/>
        <v>5.0599201065246495</v>
      </c>
    </row>
    <row r="101" spans="1:30" x14ac:dyDescent="0.35">
      <c r="A101" s="4" t="s">
        <v>34</v>
      </c>
      <c r="B101" s="2">
        <v>2021</v>
      </c>
      <c r="C101" s="2" t="s">
        <v>38</v>
      </c>
      <c r="D101" s="2">
        <v>146.30000000000001</v>
      </c>
      <c r="E101" s="2">
        <v>200.5</v>
      </c>
      <c r="F101" s="2">
        <v>170.3</v>
      </c>
      <c r="G101" s="2">
        <v>156.1</v>
      </c>
      <c r="H101" s="2">
        <v>178.7</v>
      </c>
      <c r="I101" s="2">
        <v>167.1</v>
      </c>
      <c r="J101" s="2">
        <v>147.9</v>
      </c>
      <c r="K101" s="2">
        <v>165.4</v>
      </c>
      <c r="L101" s="2">
        <v>114.8</v>
      </c>
      <c r="M101" s="2">
        <v>168.2</v>
      </c>
      <c r="N101" s="2">
        <v>159.30000000000001</v>
      </c>
      <c r="O101" s="2">
        <v>170.4</v>
      </c>
      <c r="P101" s="2">
        <v>191.9</v>
      </c>
      <c r="Q101" s="2">
        <v>161.80000000000001</v>
      </c>
      <c r="R101" s="2">
        <v>152.1</v>
      </c>
      <c r="S101" s="2">
        <v>161.6</v>
      </c>
      <c r="T101" s="2">
        <v>159.4</v>
      </c>
      <c r="U101" s="2">
        <v>154.69999999999999</v>
      </c>
      <c r="V101" s="2">
        <v>165.8</v>
      </c>
      <c r="W101" s="2">
        <v>148.9</v>
      </c>
      <c r="X101" s="2">
        <v>155.80000000000001</v>
      </c>
      <c r="Y101" s="2">
        <v>161.19999999999999</v>
      </c>
      <c r="Z101" s="2">
        <v>158.6</v>
      </c>
      <c r="AA101" s="2">
        <v>156.80000000000001</v>
      </c>
      <c r="AB101" s="2">
        <v>160.4</v>
      </c>
      <c r="AC101" s="9">
        <v>44317</v>
      </c>
      <c r="AD101" s="11">
        <f t="shared" si="1"/>
        <v>6.2251655629139115</v>
      </c>
    </row>
    <row r="102" spans="1:30" x14ac:dyDescent="0.35">
      <c r="A102" s="5" t="s">
        <v>34</v>
      </c>
      <c r="B102" s="3">
        <v>2021</v>
      </c>
      <c r="C102" s="3" t="s">
        <v>39</v>
      </c>
      <c r="D102" s="3">
        <v>146.69999999999999</v>
      </c>
      <c r="E102" s="3">
        <v>202</v>
      </c>
      <c r="F102" s="3">
        <v>180.7</v>
      </c>
      <c r="G102" s="3">
        <v>156.19999999999999</v>
      </c>
      <c r="H102" s="3">
        <v>183.7</v>
      </c>
      <c r="I102" s="3">
        <v>164.6</v>
      </c>
      <c r="J102" s="3">
        <v>155.4</v>
      </c>
      <c r="K102" s="3">
        <v>166</v>
      </c>
      <c r="L102" s="3">
        <v>115.1</v>
      </c>
      <c r="M102" s="3">
        <v>168.5</v>
      </c>
      <c r="N102" s="3">
        <v>160</v>
      </c>
      <c r="O102" s="3">
        <v>172.4</v>
      </c>
      <c r="P102" s="3">
        <v>190.8</v>
      </c>
      <c r="Q102" s="3">
        <v>162.19999999999999</v>
      </c>
      <c r="R102" s="3">
        <v>151.80000000000001</v>
      </c>
      <c r="S102" s="3">
        <v>160.5</v>
      </c>
      <c r="T102" s="3">
        <v>159.80000000000001</v>
      </c>
      <c r="U102" s="3">
        <v>154.80000000000001</v>
      </c>
      <c r="V102" s="3">
        <v>166.3</v>
      </c>
      <c r="W102" s="3">
        <v>150.69999999999999</v>
      </c>
      <c r="X102" s="3">
        <v>154.9</v>
      </c>
      <c r="Y102" s="3">
        <v>161.69999999999999</v>
      </c>
      <c r="Z102" s="3">
        <v>158.80000000000001</v>
      </c>
      <c r="AA102" s="3">
        <v>157.6</v>
      </c>
      <c r="AB102" s="3">
        <v>161.30000000000001</v>
      </c>
      <c r="AC102" s="8">
        <v>44348</v>
      </c>
      <c r="AD102" s="11">
        <f t="shared" si="1"/>
        <v>6.2582345191040831</v>
      </c>
    </row>
    <row r="103" spans="1:30" x14ac:dyDescent="0.35">
      <c r="A103" s="4" t="s">
        <v>34</v>
      </c>
      <c r="B103" s="2">
        <v>2021</v>
      </c>
      <c r="C103" s="2" t="s">
        <v>40</v>
      </c>
      <c r="D103" s="2">
        <v>146.4</v>
      </c>
      <c r="E103" s="2">
        <v>206.8</v>
      </c>
      <c r="F103" s="2">
        <v>182.2</v>
      </c>
      <c r="G103" s="2">
        <v>157.5</v>
      </c>
      <c r="H103" s="2">
        <v>182.1</v>
      </c>
      <c r="I103" s="2">
        <v>163.9</v>
      </c>
      <c r="J103" s="2">
        <v>164.2</v>
      </c>
      <c r="K103" s="2">
        <v>164</v>
      </c>
      <c r="L103" s="2">
        <v>114.5</v>
      </c>
      <c r="M103" s="2">
        <v>168.3</v>
      </c>
      <c r="N103" s="2">
        <v>160.9</v>
      </c>
      <c r="O103" s="2">
        <v>172.2</v>
      </c>
      <c r="P103" s="2">
        <v>191.2</v>
      </c>
      <c r="Q103" s="2">
        <v>162.80000000000001</v>
      </c>
      <c r="R103" s="2">
        <v>153.1</v>
      </c>
      <c r="S103" s="2">
        <v>161.5</v>
      </c>
      <c r="T103" s="2">
        <v>160.69999999999999</v>
      </c>
      <c r="U103" s="2">
        <v>155.80000000000001</v>
      </c>
      <c r="V103" s="2">
        <v>167</v>
      </c>
      <c r="W103" s="2">
        <v>153.1</v>
      </c>
      <c r="X103" s="2">
        <v>155.30000000000001</v>
      </c>
      <c r="Y103" s="2">
        <v>163.19999999999999</v>
      </c>
      <c r="Z103" s="2">
        <v>160.1</v>
      </c>
      <c r="AA103" s="2">
        <v>159</v>
      </c>
      <c r="AB103" s="2">
        <v>162.5</v>
      </c>
      <c r="AC103" s="9">
        <v>44378</v>
      </c>
      <c r="AD103" s="11">
        <f t="shared" si="1"/>
        <v>7.0487483530961708</v>
      </c>
    </row>
    <row r="104" spans="1:30" x14ac:dyDescent="0.35">
      <c r="A104" s="5" t="s">
        <v>34</v>
      </c>
      <c r="B104" s="3">
        <v>2021</v>
      </c>
      <c r="C104" s="3" t="s">
        <v>41</v>
      </c>
      <c r="D104" s="3">
        <v>146.6</v>
      </c>
      <c r="E104" s="3">
        <v>204</v>
      </c>
      <c r="F104" s="3">
        <v>172.8</v>
      </c>
      <c r="G104" s="3">
        <v>158.4</v>
      </c>
      <c r="H104" s="3">
        <v>188</v>
      </c>
      <c r="I104" s="3">
        <v>156.80000000000001</v>
      </c>
      <c r="J104" s="3">
        <v>162.19999999999999</v>
      </c>
      <c r="K104" s="3">
        <v>164.1</v>
      </c>
      <c r="L104" s="3">
        <v>119.7</v>
      </c>
      <c r="M104" s="3">
        <v>168.8</v>
      </c>
      <c r="N104" s="3">
        <v>162.69999999999999</v>
      </c>
      <c r="O104" s="3">
        <v>173.9</v>
      </c>
      <c r="P104" s="3">
        <v>192.1</v>
      </c>
      <c r="Q104" s="3">
        <v>164.5</v>
      </c>
      <c r="R104" s="3">
        <v>155.30000000000001</v>
      </c>
      <c r="S104" s="3">
        <v>162.1</v>
      </c>
      <c r="T104" s="3">
        <v>162.6</v>
      </c>
      <c r="U104" s="3">
        <v>157.5</v>
      </c>
      <c r="V104" s="3">
        <v>168.4</v>
      </c>
      <c r="W104" s="3">
        <v>154</v>
      </c>
      <c r="X104" s="3">
        <v>157.6</v>
      </c>
      <c r="Y104" s="3">
        <v>163.80000000000001</v>
      </c>
      <c r="Z104" s="3">
        <v>160</v>
      </c>
      <c r="AA104" s="3">
        <v>160</v>
      </c>
      <c r="AB104" s="3">
        <v>163.19999999999999</v>
      </c>
      <c r="AC104" s="8">
        <v>44409</v>
      </c>
      <c r="AD104" s="11">
        <f t="shared" si="1"/>
        <v>6.0428849902534001</v>
      </c>
    </row>
    <row r="105" spans="1:30" x14ac:dyDescent="0.35">
      <c r="A105" s="4" t="s">
        <v>34</v>
      </c>
      <c r="B105" s="2">
        <v>2021</v>
      </c>
      <c r="C105" s="2" t="s">
        <v>42</v>
      </c>
      <c r="D105" s="2">
        <v>146.6</v>
      </c>
      <c r="E105" s="2">
        <v>204</v>
      </c>
      <c r="F105" s="2">
        <v>172.8</v>
      </c>
      <c r="G105" s="2">
        <v>158.4</v>
      </c>
      <c r="H105" s="2">
        <v>188</v>
      </c>
      <c r="I105" s="2">
        <v>156.69999999999999</v>
      </c>
      <c r="J105" s="2">
        <v>162.30000000000001</v>
      </c>
      <c r="K105" s="2">
        <v>164.1</v>
      </c>
      <c r="L105" s="2">
        <v>119.7</v>
      </c>
      <c r="M105" s="2">
        <v>168.8</v>
      </c>
      <c r="N105" s="2">
        <v>162.69999999999999</v>
      </c>
      <c r="O105" s="2">
        <v>173.9</v>
      </c>
      <c r="P105" s="2">
        <v>192.1</v>
      </c>
      <c r="Q105" s="2">
        <v>164.6</v>
      </c>
      <c r="R105" s="2">
        <v>155.30000000000001</v>
      </c>
      <c r="S105" s="2">
        <v>162.1</v>
      </c>
      <c r="T105" s="2">
        <v>162.6</v>
      </c>
      <c r="U105" s="2">
        <v>157.5</v>
      </c>
      <c r="V105" s="2">
        <v>168.4</v>
      </c>
      <c r="W105" s="2">
        <v>154</v>
      </c>
      <c r="X105" s="2">
        <v>157.69999999999999</v>
      </c>
      <c r="Y105" s="2">
        <v>163.69999999999999</v>
      </c>
      <c r="Z105" s="2">
        <v>160</v>
      </c>
      <c r="AA105" s="2">
        <v>160</v>
      </c>
      <c r="AB105" s="2">
        <v>163.19999999999999</v>
      </c>
      <c r="AC105" s="9">
        <v>44440</v>
      </c>
      <c r="AD105" s="11">
        <f t="shared" si="1"/>
        <v>5.4945054945054954</v>
      </c>
    </row>
    <row r="106" spans="1:30" x14ac:dyDescent="0.35">
      <c r="A106" s="5" t="s">
        <v>34</v>
      </c>
      <c r="B106" s="3">
        <v>2021</v>
      </c>
      <c r="C106" s="3" t="s">
        <v>43</v>
      </c>
      <c r="D106" s="3">
        <v>147.4</v>
      </c>
      <c r="E106" s="3">
        <v>204.6</v>
      </c>
      <c r="F106" s="3">
        <v>171.2</v>
      </c>
      <c r="G106" s="3">
        <v>158.69999999999999</v>
      </c>
      <c r="H106" s="3">
        <v>190.6</v>
      </c>
      <c r="I106" s="3">
        <v>155.69999999999999</v>
      </c>
      <c r="J106" s="3">
        <v>185.3</v>
      </c>
      <c r="K106" s="3">
        <v>165.2</v>
      </c>
      <c r="L106" s="3">
        <v>121.9</v>
      </c>
      <c r="M106" s="3">
        <v>169.3</v>
      </c>
      <c r="N106" s="3">
        <v>163.19999999999999</v>
      </c>
      <c r="O106" s="3">
        <v>174.7</v>
      </c>
      <c r="P106" s="3">
        <v>192.7</v>
      </c>
      <c r="Q106" s="3">
        <v>165.7</v>
      </c>
      <c r="R106" s="3">
        <v>156.30000000000001</v>
      </c>
      <c r="S106" s="3">
        <v>163.6</v>
      </c>
      <c r="T106" s="3">
        <v>164.2</v>
      </c>
      <c r="U106" s="3">
        <v>158.4</v>
      </c>
      <c r="V106" s="3">
        <v>169.1</v>
      </c>
      <c r="W106" s="3">
        <v>155.69999999999999</v>
      </c>
      <c r="X106" s="3">
        <v>158.6</v>
      </c>
      <c r="Y106" s="3">
        <v>163.9</v>
      </c>
      <c r="Z106" s="3">
        <v>160.80000000000001</v>
      </c>
      <c r="AA106" s="3">
        <v>161</v>
      </c>
      <c r="AB106" s="3">
        <v>165.5</v>
      </c>
      <c r="AC106" s="8">
        <v>44470</v>
      </c>
      <c r="AD106" s="11">
        <f t="shared" si="1"/>
        <v>5.8184143222506357</v>
      </c>
    </row>
    <row r="107" spans="1:30" x14ac:dyDescent="0.35">
      <c r="A107" s="4" t="s">
        <v>34</v>
      </c>
      <c r="B107" s="2">
        <v>2021</v>
      </c>
      <c r="C107" s="2" t="s">
        <v>45</v>
      </c>
      <c r="D107" s="2">
        <v>148.19999999999999</v>
      </c>
      <c r="E107" s="2">
        <v>201.6</v>
      </c>
      <c r="F107" s="2">
        <v>173</v>
      </c>
      <c r="G107" s="2">
        <v>159.30000000000001</v>
      </c>
      <c r="H107" s="2">
        <v>190.1</v>
      </c>
      <c r="I107" s="2">
        <v>156.5</v>
      </c>
      <c r="J107" s="2">
        <v>199.2</v>
      </c>
      <c r="K107" s="2">
        <v>165.3</v>
      </c>
      <c r="L107" s="2">
        <v>122.4</v>
      </c>
      <c r="M107" s="2">
        <v>169.6</v>
      </c>
      <c r="N107" s="2">
        <v>163.69999999999999</v>
      </c>
      <c r="O107" s="2">
        <v>175.5</v>
      </c>
      <c r="P107" s="2">
        <v>192.9</v>
      </c>
      <c r="Q107" s="2">
        <v>167.2</v>
      </c>
      <c r="R107" s="2">
        <v>157.4</v>
      </c>
      <c r="S107" s="2">
        <v>164.2</v>
      </c>
      <c r="T107" s="2">
        <v>163.9</v>
      </c>
      <c r="U107" s="2">
        <v>159.30000000000001</v>
      </c>
      <c r="V107" s="2">
        <v>169.9</v>
      </c>
      <c r="W107" s="2">
        <v>154.80000000000001</v>
      </c>
      <c r="X107" s="2">
        <v>159.80000000000001</v>
      </c>
      <c r="Y107" s="2">
        <v>164.3</v>
      </c>
      <c r="Z107" s="2">
        <v>162.19999999999999</v>
      </c>
      <c r="AA107" s="2">
        <v>161.4</v>
      </c>
      <c r="AB107" s="2">
        <v>166.7</v>
      </c>
      <c r="AC107" s="9">
        <v>44501</v>
      </c>
      <c r="AD107" s="11">
        <f t="shared" si="1"/>
        <v>5.239898989898979</v>
      </c>
    </row>
    <row r="108" spans="1:30" x14ac:dyDescent="0.35">
      <c r="A108" s="5" t="s">
        <v>34</v>
      </c>
      <c r="B108" s="3">
        <v>2021</v>
      </c>
      <c r="C108" s="3" t="s">
        <v>46</v>
      </c>
      <c r="D108" s="3">
        <v>148.69999999999999</v>
      </c>
      <c r="E108" s="3">
        <v>198.8</v>
      </c>
      <c r="F108" s="3">
        <v>177.9</v>
      </c>
      <c r="G108" s="3">
        <v>159.9</v>
      </c>
      <c r="H108" s="3">
        <v>187.6</v>
      </c>
      <c r="I108" s="3">
        <v>154.9</v>
      </c>
      <c r="J108" s="3">
        <v>188.3</v>
      </c>
      <c r="K108" s="3">
        <v>164.4</v>
      </c>
      <c r="L108" s="3">
        <v>121</v>
      </c>
      <c r="M108" s="3">
        <v>170.5</v>
      </c>
      <c r="N108" s="3">
        <v>164.2</v>
      </c>
      <c r="O108" s="3">
        <v>176.5</v>
      </c>
      <c r="P108" s="3">
        <v>192.4</v>
      </c>
      <c r="Q108" s="3">
        <v>168.5</v>
      </c>
      <c r="R108" s="3">
        <v>158.69999999999999</v>
      </c>
      <c r="S108" s="3">
        <v>163.4</v>
      </c>
      <c r="T108" s="3">
        <v>164.1</v>
      </c>
      <c r="U108" s="3">
        <v>160.19999999999999</v>
      </c>
      <c r="V108" s="3">
        <v>170.6</v>
      </c>
      <c r="W108" s="3">
        <v>155.69999999999999</v>
      </c>
      <c r="X108" s="3">
        <v>160.6</v>
      </c>
      <c r="Y108" s="3">
        <v>164.4</v>
      </c>
      <c r="Z108" s="3">
        <v>162.6</v>
      </c>
      <c r="AA108" s="3">
        <v>162</v>
      </c>
      <c r="AB108" s="3">
        <v>166.2</v>
      </c>
      <c r="AC108" s="8">
        <v>44531</v>
      </c>
      <c r="AD108" s="11">
        <f t="shared" si="1"/>
        <v>4.5940843297671385</v>
      </c>
    </row>
    <row r="109" spans="1:30" x14ac:dyDescent="0.35">
      <c r="A109" s="4" t="s">
        <v>34</v>
      </c>
      <c r="B109" s="2">
        <v>2022</v>
      </c>
      <c r="C109" s="2" t="s">
        <v>31</v>
      </c>
      <c r="D109" s="2">
        <v>149.5</v>
      </c>
      <c r="E109" s="2">
        <v>198.7</v>
      </c>
      <c r="F109" s="2">
        <v>178.8</v>
      </c>
      <c r="G109" s="2">
        <v>160.5</v>
      </c>
      <c r="H109" s="2">
        <v>184.7</v>
      </c>
      <c r="I109" s="2">
        <v>153.69999999999999</v>
      </c>
      <c r="J109" s="2">
        <v>174.3</v>
      </c>
      <c r="K109" s="2">
        <v>163.9</v>
      </c>
      <c r="L109" s="2">
        <v>120</v>
      </c>
      <c r="M109" s="2">
        <v>172.1</v>
      </c>
      <c r="N109" s="2">
        <v>164.3</v>
      </c>
      <c r="O109" s="2">
        <v>177.3</v>
      </c>
      <c r="P109" s="2">
        <v>192.2</v>
      </c>
      <c r="Q109" s="2">
        <v>169.9</v>
      </c>
      <c r="R109" s="2">
        <v>160.69999999999999</v>
      </c>
      <c r="S109" s="2">
        <v>164.5</v>
      </c>
      <c r="T109" s="2">
        <v>164.2</v>
      </c>
      <c r="U109" s="2">
        <v>161.1</v>
      </c>
      <c r="V109" s="2">
        <v>171.4</v>
      </c>
      <c r="W109" s="2">
        <v>156.5</v>
      </c>
      <c r="X109" s="2">
        <v>161.19999999999999</v>
      </c>
      <c r="Y109" s="2">
        <v>164.7</v>
      </c>
      <c r="Z109" s="2">
        <v>163</v>
      </c>
      <c r="AA109" s="2">
        <v>162.69999999999999</v>
      </c>
      <c r="AB109" s="2">
        <v>165.7</v>
      </c>
      <c r="AC109" s="9">
        <v>44562</v>
      </c>
      <c r="AD109" s="11">
        <f t="shared" si="1"/>
        <v>5.3401144310235074</v>
      </c>
    </row>
    <row r="110" spans="1:30" x14ac:dyDescent="0.35">
      <c r="A110" s="5" t="s">
        <v>34</v>
      </c>
      <c r="B110" s="3">
        <v>2022</v>
      </c>
      <c r="C110" s="3" t="s">
        <v>35</v>
      </c>
      <c r="D110" s="3">
        <v>150</v>
      </c>
      <c r="E110" s="3">
        <v>200.6</v>
      </c>
      <c r="F110" s="3">
        <v>175.8</v>
      </c>
      <c r="G110" s="3">
        <v>160.69999999999999</v>
      </c>
      <c r="H110" s="3">
        <v>184.9</v>
      </c>
      <c r="I110" s="3">
        <v>153.69999999999999</v>
      </c>
      <c r="J110" s="3">
        <v>169.7</v>
      </c>
      <c r="K110" s="3">
        <v>163.69999999999999</v>
      </c>
      <c r="L110" s="3">
        <v>118.9</v>
      </c>
      <c r="M110" s="3">
        <v>174.3</v>
      </c>
      <c r="N110" s="3">
        <v>164.7</v>
      </c>
      <c r="O110" s="3">
        <v>178</v>
      </c>
      <c r="P110" s="3">
        <v>192.8</v>
      </c>
      <c r="Q110" s="3">
        <v>170.8</v>
      </c>
      <c r="R110" s="3">
        <v>162.4</v>
      </c>
      <c r="S110" s="3">
        <v>165.5</v>
      </c>
      <c r="T110" s="3">
        <v>165.7</v>
      </c>
      <c r="U110" s="3">
        <v>161.80000000000001</v>
      </c>
      <c r="V110" s="3">
        <v>172.2</v>
      </c>
      <c r="W110" s="3">
        <v>156.9</v>
      </c>
      <c r="X110" s="3">
        <v>162.1</v>
      </c>
      <c r="Y110" s="3">
        <v>165.4</v>
      </c>
      <c r="Z110" s="3">
        <v>164.4</v>
      </c>
      <c r="AA110" s="3">
        <v>163.5</v>
      </c>
      <c r="AB110" s="3">
        <v>166.1</v>
      </c>
      <c r="AC110" s="8">
        <v>44593</v>
      </c>
      <c r="AD110" s="11">
        <f t="shared" si="1"/>
        <v>6.0664112388250322</v>
      </c>
    </row>
    <row r="111" spans="1:30" x14ac:dyDescent="0.35">
      <c r="A111" s="4" t="s">
        <v>34</v>
      </c>
      <c r="B111" s="2">
        <v>2022</v>
      </c>
      <c r="C111" s="2" t="s">
        <v>36</v>
      </c>
      <c r="D111" s="2">
        <v>151.30000000000001</v>
      </c>
      <c r="E111" s="2">
        <v>210.7</v>
      </c>
      <c r="F111" s="2">
        <v>167.8</v>
      </c>
      <c r="G111" s="2">
        <v>162.19999999999999</v>
      </c>
      <c r="H111" s="2">
        <v>194.6</v>
      </c>
      <c r="I111" s="2">
        <v>157.6</v>
      </c>
      <c r="J111" s="2">
        <v>166.9</v>
      </c>
      <c r="K111" s="2">
        <v>163.9</v>
      </c>
      <c r="L111" s="2">
        <v>118.8</v>
      </c>
      <c r="M111" s="2">
        <v>177.4</v>
      </c>
      <c r="N111" s="2">
        <v>165.3</v>
      </c>
      <c r="O111" s="2">
        <v>179.3</v>
      </c>
      <c r="P111" s="2">
        <v>193.7</v>
      </c>
      <c r="Q111" s="2">
        <v>172.1</v>
      </c>
      <c r="R111" s="2">
        <v>164.6</v>
      </c>
      <c r="S111" s="2">
        <v>165.3</v>
      </c>
      <c r="T111" s="2">
        <v>167.2</v>
      </c>
      <c r="U111" s="2">
        <v>162.80000000000001</v>
      </c>
      <c r="V111" s="2">
        <v>173</v>
      </c>
      <c r="W111" s="2">
        <v>157.9</v>
      </c>
      <c r="X111" s="2">
        <v>163.30000000000001</v>
      </c>
      <c r="Y111" s="2">
        <v>166</v>
      </c>
      <c r="Z111" s="2">
        <v>167.2</v>
      </c>
      <c r="AA111" s="2">
        <v>164.6</v>
      </c>
      <c r="AB111" s="2">
        <v>167.7</v>
      </c>
      <c r="AC111" s="9">
        <v>44621</v>
      </c>
      <c r="AD111" s="11">
        <f t="shared" si="1"/>
        <v>6.9515306122448823</v>
      </c>
    </row>
    <row r="112" spans="1:30" x14ac:dyDescent="0.35">
      <c r="A112" s="5" t="s">
        <v>34</v>
      </c>
      <c r="B112" s="3">
        <v>2022</v>
      </c>
      <c r="C112" s="3" t="s">
        <v>37</v>
      </c>
      <c r="D112" s="3">
        <v>152.9</v>
      </c>
      <c r="E112" s="3">
        <v>211.8</v>
      </c>
      <c r="F112" s="3">
        <v>164.5</v>
      </c>
      <c r="G112" s="3">
        <v>163.9</v>
      </c>
      <c r="H112" s="3">
        <v>199.5</v>
      </c>
      <c r="I112" s="3">
        <v>172.6</v>
      </c>
      <c r="J112" s="3">
        <v>166.2</v>
      </c>
      <c r="K112" s="3">
        <v>164.7</v>
      </c>
      <c r="L112" s="3">
        <v>119</v>
      </c>
      <c r="M112" s="3">
        <v>181.3</v>
      </c>
      <c r="N112" s="3">
        <v>166.2</v>
      </c>
      <c r="O112" s="3">
        <v>180.9</v>
      </c>
      <c r="P112" s="3">
        <v>193.9</v>
      </c>
      <c r="Q112" s="3">
        <v>173.9</v>
      </c>
      <c r="R112" s="3">
        <v>166.5</v>
      </c>
      <c r="S112" s="3">
        <v>167</v>
      </c>
      <c r="T112" s="3">
        <v>172.2</v>
      </c>
      <c r="U112" s="3">
        <v>164</v>
      </c>
      <c r="V112" s="3">
        <v>174</v>
      </c>
      <c r="W112" s="3">
        <v>162.6</v>
      </c>
      <c r="X112" s="3">
        <v>164.4</v>
      </c>
      <c r="Y112" s="3">
        <v>166.9</v>
      </c>
      <c r="Z112" s="3">
        <v>168.8</v>
      </c>
      <c r="AA112" s="3">
        <v>166.8</v>
      </c>
      <c r="AB112" s="3">
        <v>170.1</v>
      </c>
      <c r="AC112" s="8">
        <v>44652</v>
      </c>
      <c r="AD112" s="11">
        <f t="shared" si="1"/>
        <v>7.7946768060836389</v>
      </c>
    </row>
    <row r="113" spans="1:30" x14ac:dyDescent="0.35">
      <c r="A113" s="4" t="s">
        <v>34</v>
      </c>
      <c r="B113" s="2">
        <v>2022</v>
      </c>
      <c r="C113" s="2" t="s">
        <v>38</v>
      </c>
      <c r="D113" s="2">
        <v>154.1</v>
      </c>
      <c r="E113" s="2">
        <v>217</v>
      </c>
      <c r="F113" s="2">
        <v>162.4</v>
      </c>
      <c r="G113" s="2">
        <v>164.9</v>
      </c>
      <c r="H113" s="2">
        <v>202.4</v>
      </c>
      <c r="I113" s="2">
        <v>171</v>
      </c>
      <c r="J113" s="2">
        <v>174.9</v>
      </c>
      <c r="K113" s="2">
        <v>164.7</v>
      </c>
      <c r="L113" s="2">
        <v>119.7</v>
      </c>
      <c r="M113" s="2">
        <v>184.9</v>
      </c>
      <c r="N113" s="2">
        <v>167.1</v>
      </c>
      <c r="O113" s="2">
        <v>182.5</v>
      </c>
      <c r="P113" s="2">
        <v>194.1</v>
      </c>
      <c r="Q113" s="2">
        <v>175.6</v>
      </c>
      <c r="R113" s="2">
        <v>168.4</v>
      </c>
      <c r="S113" s="2">
        <v>167.5</v>
      </c>
      <c r="T113" s="2">
        <v>174.6</v>
      </c>
      <c r="U113" s="2">
        <v>165.2</v>
      </c>
      <c r="V113" s="2">
        <v>174.8</v>
      </c>
      <c r="W113" s="2">
        <v>163</v>
      </c>
      <c r="X113" s="2">
        <v>165.1</v>
      </c>
      <c r="Y113" s="2">
        <v>167.9</v>
      </c>
      <c r="Z113" s="2">
        <v>168.4</v>
      </c>
      <c r="AA113" s="2">
        <v>167.5</v>
      </c>
      <c r="AB113" s="2">
        <v>171.7</v>
      </c>
      <c r="AC113" s="9">
        <v>44682</v>
      </c>
      <c r="AD113" s="11">
        <f t="shared" si="1"/>
        <v>7.044887780548617</v>
      </c>
    </row>
    <row r="114" spans="1:30" x14ac:dyDescent="0.35">
      <c r="A114" s="5" t="s">
        <v>34</v>
      </c>
      <c r="B114" s="3">
        <v>2022</v>
      </c>
      <c r="C114" s="3" t="s">
        <v>39</v>
      </c>
      <c r="D114" s="3">
        <v>155</v>
      </c>
      <c r="E114" s="3">
        <v>219.4</v>
      </c>
      <c r="F114" s="3">
        <v>170.8</v>
      </c>
      <c r="G114" s="3">
        <v>165.8</v>
      </c>
      <c r="H114" s="3">
        <v>200.9</v>
      </c>
      <c r="I114" s="3">
        <v>169.7</v>
      </c>
      <c r="J114" s="3">
        <v>182.3</v>
      </c>
      <c r="K114" s="3">
        <v>164.3</v>
      </c>
      <c r="L114" s="3">
        <v>119.9</v>
      </c>
      <c r="M114" s="3">
        <v>187.1</v>
      </c>
      <c r="N114" s="3">
        <v>167.9</v>
      </c>
      <c r="O114" s="3">
        <v>183.9</v>
      </c>
      <c r="P114" s="3">
        <v>194.3</v>
      </c>
      <c r="Q114" s="3">
        <v>177.1</v>
      </c>
      <c r="R114" s="3">
        <v>169.9</v>
      </c>
      <c r="S114" s="3">
        <v>166.8</v>
      </c>
      <c r="T114" s="3">
        <v>176</v>
      </c>
      <c r="U114" s="3">
        <v>166.4</v>
      </c>
      <c r="V114" s="3">
        <v>175.4</v>
      </c>
      <c r="W114" s="3">
        <v>161.1</v>
      </c>
      <c r="X114" s="3">
        <v>165.8</v>
      </c>
      <c r="Y114" s="3">
        <v>169</v>
      </c>
      <c r="Z114" s="3">
        <v>169.4</v>
      </c>
      <c r="AA114" s="3">
        <v>167.5</v>
      </c>
      <c r="AB114" s="3">
        <v>172.6</v>
      </c>
      <c r="AC114" s="8">
        <v>44713</v>
      </c>
      <c r="AD114" s="11">
        <f t="shared" si="1"/>
        <v>7.0055796652200755</v>
      </c>
    </row>
    <row r="115" spans="1:30" x14ac:dyDescent="0.35">
      <c r="A115" s="4" t="s">
        <v>34</v>
      </c>
      <c r="B115" s="2">
        <v>2022</v>
      </c>
      <c r="C115" s="2" t="s">
        <v>40</v>
      </c>
      <c r="D115" s="2">
        <v>156.5</v>
      </c>
      <c r="E115" s="2">
        <v>213</v>
      </c>
      <c r="F115" s="2">
        <v>175.2</v>
      </c>
      <c r="G115" s="2">
        <v>166.6</v>
      </c>
      <c r="H115" s="2">
        <v>195.8</v>
      </c>
      <c r="I115" s="2">
        <v>174.2</v>
      </c>
      <c r="J115" s="2">
        <v>182.1</v>
      </c>
      <c r="K115" s="2">
        <v>164.3</v>
      </c>
      <c r="L115" s="2">
        <v>120</v>
      </c>
      <c r="M115" s="2">
        <v>190</v>
      </c>
      <c r="N115" s="2">
        <v>168.4</v>
      </c>
      <c r="O115" s="2">
        <v>185.2</v>
      </c>
      <c r="P115" s="2">
        <v>194.6</v>
      </c>
      <c r="Q115" s="2">
        <v>178.3</v>
      </c>
      <c r="R115" s="2">
        <v>171.3</v>
      </c>
      <c r="S115" s="2">
        <v>167.8</v>
      </c>
      <c r="T115" s="2">
        <v>179.6</v>
      </c>
      <c r="U115" s="2">
        <v>167.4</v>
      </c>
      <c r="V115" s="2">
        <v>176.1</v>
      </c>
      <c r="W115" s="2">
        <v>161.6</v>
      </c>
      <c r="X115" s="2">
        <v>166.3</v>
      </c>
      <c r="Y115" s="2">
        <v>171.4</v>
      </c>
      <c r="Z115" s="2">
        <v>169.7</v>
      </c>
      <c r="AA115" s="2">
        <v>168.4</v>
      </c>
      <c r="AB115" s="2">
        <v>173.4</v>
      </c>
      <c r="AC115" s="9">
        <v>44743</v>
      </c>
      <c r="AD115" s="11">
        <f t="shared" si="1"/>
        <v>6.7076923076923114</v>
      </c>
    </row>
    <row r="116" spans="1:30" x14ac:dyDescent="0.35">
      <c r="A116" s="5" t="s">
        <v>34</v>
      </c>
      <c r="B116" s="3">
        <v>2022</v>
      </c>
      <c r="C116" s="3" t="s">
        <v>41</v>
      </c>
      <c r="D116" s="3">
        <v>160.30000000000001</v>
      </c>
      <c r="E116" s="3">
        <v>206.5</v>
      </c>
      <c r="F116" s="3">
        <v>169.2</v>
      </c>
      <c r="G116" s="3">
        <v>168.1</v>
      </c>
      <c r="H116" s="3">
        <v>192.4</v>
      </c>
      <c r="I116" s="3">
        <v>172.9</v>
      </c>
      <c r="J116" s="3">
        <v>186.7</v>
      </c>
      <c r="K116" s="3">
        <v>167.2</v>
      </c>
      <c r="L116" s="3">
        <v>120.9</v>
      </c>
      <c r="M116" s="3">
        <v>193.6</v>
      </c>
      <c r="N116" s="3">
        <v>168.8</v>
      </c>
      <c r="O116" s="3">
        <v>186.3</v>
      </c>
      <c r="P116" s="3">
        <v>195</v>
      </c>
      <c r="Q116" s="3">
        <v>179.5</v>
      </c>
      <c r="R116" s="3">
        <v>172.7</v>
      </c>
      <c r="S116" s="3">
        <v>169</v>
      </c>
      <c r="T116" s="3">
        <v>178.8</v>
      </c>
      <c r="U116" s="3">
        <v>168.5</v>
      </c>
      <c r="V116" s="3">
        <v>176.8</v>
      </c>
      <c r="W116" s="3">
        <v>161.9</v>
      </c>
      <c r="X116" s="3">
        <v>166.9</v>
      </c>
      <c r="Y116" s="3">
        <v>172.3</v>
      </c>
      <c r="Z116" s="3">
        <v>171.2</v>
      </c>
      <c r="AA116" s="3">
        <v>169.1</v>
      </c>
      <c r="AB116" s="3">
        <v>174.3</v>
      </c>
      <c r="AC116" s="8">
        <v>44774</v>
      </c>
      <c r="AD116" s="11">
        <f t="shared" si="1"/>
        <v>6.8014705882353086</v>
      </c>
    </row>
    <row r="117" spans="1:30" x14ac:dyDescent="0.35">
      <c r="A117" s="4" t="s">
        <v>34</v>
      </c>
      <c r="B117" s="2">
        <v>2022</v>
      </c>
      <c r="C117" s="2" t="s">
        <v>42</v>
      </c>
      <c r="D117" s="2">
        <v>163.5</v>
      </c>
      <c r="E117" s="2">
        <v>209.2</v>
      </c>
      <c r="F117" s="2">
        <v>169.7</v>
      </c>
      <c r="G117" s="2">
        <v>169.7</v>
      </c>
      <c r="H117" s="2">
        <v>188.7</v>
      </c>
      <c r="I117" s="2">
        <v>165.7</v>
      </c>
      <c r="J117" s="2">
        <v>191.8</v>
      </c>
      <c r="K117" s="2">
        <v>169.1</v>
      </c>
      <c r="L117" s="2">
        <v>121.6</v>
      </c>
      <c r="M117" s="2">
        <v>197.3</v>
      </c>
      <c r="N117" s="2">
        <v>169.4</v>
      </c>
      <c r="O117" s="2">
        <v>187.4</v>
      </c>
      <c r="P117" s="2">
        <v>195.9</v>
      </c>
      <c r="Q117" s="2">
        <v>180.9</v>
      </c>
      <c r="R117" s="2">
        <v>174.3</v>
      </c>
      <c r="S117" s="2">
        <v>169.5</v>
      </c>
      <c r="T117" s="2">
        <v>179.5</v>
      </c>
      <c r="U117" s="2">
        <v>169.5</v>
      </c>
      <c r="V117" s="2">
        <v>177.8</v>
      </c>
      <c r="W117" s="2">
        <v>162.30000000000001</v>
      </c>
      <c r="X117" s="2">
        <v>167.6</v>
      </c>
      <c r="Y117" s="2">
        <v>173.1</v>
      </c>
      <c r="Z117" s="2">
        <v>170.9</v>
      </c>
      <c r="AA117" s="2">
        <v>169.7</v>
      </c>
      <c r="AB117" s="2">
        <v>175.3</v>
      </c>
      <c r="AC117" s="9">
        <v>44805</v>
      </c>
      <c r="AD117" s="11">
        <f t="shared" si="1"/>
        <v>7.4142156862745239</v>
      </c>
    </row>
    <row r="118" spans="1:30" x14ac:dyDescent="0.35">
      <c r="A118" s="5" t="s">
        <v>34</v>
      </c>
      <c r="B118" s="3">
        <v>2022</v>
      </c>
      <c r="C118" s="3" t="s">
        <v>43</v>
      </c>
      <c r="D118" s="3">
        <v>165.2</v>
      </c>
      <c r="E118" s="3">
        <v>210.9</v>
      </c>
      <c r="F118" s="3">
        <v>170.9</v>
      </c>
      <c r="G118" s="3">
        <v>170.9</v>
      </c>
      <c r="H118" s="3">
        <v>186.5</v>
      </c>
      <c r="I118" s="3">
        <v>163.80000000000001</v>
      </c>
      <c r="J118" s="3">
        <v>199.7</v>
      </c>
      <c r="K118" s="3">
        <v>169.8</v>
      </c>
      <c r="L118" s="3">
        <v>121.9</v>
      </c>
      <c r="M118" s="3">
        <v>199.9</v>
      </c>
      <c r="N118" s="3">
        <v>169.9</v>
      </c>
      <c r="O118" s="3">
        <v>188.3</v>
      </c>
      <c r="P118" s="3">
        <v>196.3</v>
      </c>
      <c r="Q118" s="3">
        <v>181.9</v>
      </c>
      <c r="R118" s="3">
        <v>175.3</v>
      </c>
      <c r="S118" s="3">
        <v>171.2</v>
      </c>
      <c r="T118" s="3">
        <v>180.5</v>
      </c>
      <c r="U118" s="3">
        <v>170.4</v>
      </c>
      <c r="V118" s="3">
        <v>178.7</v>
      </c>
      <c r="W118" s="3">
        <v>162.9</v>
      </c>
      <c r="X118" s="3">
        <v>168.2</v>
      </c>
      <c r="Y118" s="3">
        <v>173.4</v>
      </c>
      <c r="Z118" s="3">
        <v>172.1</v>
      </c>
      <c r="AA118" s="3">
        <v>170.5</v>
      </c>
      <c r="AB118" s="3">
        <v>176.7</v>
      </c>
      <c r="AC118" s="8">
        <v>44835</v>
      </c>
      <c r="AD118" s="11">
        <f t="shared" si="1"/>
        <v>6.7673716012084526</v>
      </c>
    </row>
    <row r="119" spans="1:30" x14ac:dyDescent="0.35">
      <c r="A119" s="4" t="s">
        <v>34</v>
      </c>
      <c r="B119" s="2">
        <v>2022</v>
      </c>
      <c r="C119" s="2" t="s">
        <v>45</v>
      </c>
      <c r="D119" s="2">
        <v>167.4</v>
      </c>
      <c r="E119" s="2">
        <v>209.4</v>
      </c>
      <c r="F119" s="2">
        <v>181.4</v>
      </c>
      <c r="G119" s="2">
        <v>172.3</v>
      </c>
      <c r="H119" s="2">
        <v>188.9</v>
      </c>
      <c r="I119" s="2">
        <v>160.69999999999999</v>
      </c>
      <c r="J119" s="2">
        <v>183.1</v>
      </c>
      <c r="K119" s="2">
        <v>170.5</v>
      </c>
      <c r="L119" s="2">
        <v>122.1</v>
      </c>
      <c r="M119" s="2">
        <v>202.8</v>
      </c>
      <c r="N119" s="2">
        <v>170.4</v>
      </c>
      <c r="O119" s="2">
        <v>189.5</v>
      </c>
      <c r="P119" s="2">
        <v>196.9</v>
      </c>
      <c r="Q119" s="2">
        <v>183.1</v>
      </c>
      <c r="R119" s="2">
        <v>176.2</v>
      </c>
      <c r="S119" s="2">
        <v>171.8</v>
      </c>
      <c r="T119" s="2">
        <v>181.3</v>
      </c>
      <c r="U119" s="2">
        <v>171.4</v>
      </c>
      <c r="V119" s="2">
        <v>179.8</v>
      </c>
      <c r="W119" s="2">
        <v>163</v>
      </c>
      <c r="X119" s="2">
        <v>168.5</v>
      </c>
      <c r="Y119" s="2">
        <v>173.7</v>
      </c>
      <c r="Z119" s="2">
        <v>173.6</v>
      </c>
      <c r="AA119" s="2">
        <v>171.1</v>
      </c>
      <c r="AB119" s="2">
        <v>176.5</v>
      </c>
      <c r="AC119" s="9">
        <v>44866</v>
      </c>
      <c r="AD119" s="11">
        <f t="shared" si="1"/>
        <v>5.8788242351529769</v>
      </c>
    </row>
    <row r="120" spans="1:30" x14ac:dyDescent="0.35">
      <c r="A120" s="5" t="s">
        <v>34</v>
      </c>
      <c r="B120" s="3">
        <v>2022</v>
      </c>
      <c r="C120" s="3" t="s">
        <v>46</v>
      </c>
      <c r="D120" s="3">
        <v>169.2</v>
      </c>
      <c r="E120" s="3">
        <v>209</v>
      </c>
      <c r="F120" s="3">
        <v>190.2</v>
      </c>
      <c r="G120" s="3">
        <v>173.6</v>
      </c>
      <c r="H120" s="3">
        <v>188.5</v>
      </c>
      <c r="I120" s="3">
        <v>158</v>
      </c>
      <c r="J120" s="3">
        <v>159.9</v>
      </c>
      <c r="K120" s="3">
        <v>170.8</v>
      </c>
      <c r="L120" s="3">
        <v>121.8</v>
      </c>
      <c r="M120" s="3">
        <v>205.2</v>
      </c>
      <c r="N120" s="3">
        <v>171</v>
      </c>
      <c r="O120" s="3">
        <v>190.3</v>
      </c>
      <c r="P120" s="3">
        <v>197.3</v>
      </c>
      <c r="Q120" s="3">
        <v>184</v>
      </c>
      <c r="R120" s="3">
        <v>177</v>
      </c>
      <c r="S120" s="3">
        <v>170.7</v>
      </c>
      <c r="T120" s="3">
        <v>182</v>
      </c>
      <c r="U120" s="3">
        <v>172.1</v>
      </c>
      <c r="V120" s="3">
        <v>181.1</v>
      </c>
      <c r="W120" s="3">
        <v>163.4</v>
      </c>
      <c r="X120" s="3">
        <v>168.9</v>
      </c>
      <c r="Y120" s="3">
        <v>174.1</v>
      </c>
      <c r="Z120" s="3">
        <v>175.8</v>
      </c>
      <c r="AA120" s="3">
        <v>172</v>
      </c>
      <c r="AB120" s="3">
        <v>175.7</v>
      </c>
      <c r="AC120" s="8">
        <v>44896</v>
      </c>
      <c r="AD120" s="11">
        <f t="shared" si="1"/>
        <v>5.7160048134777384</v>
      </c>
    </row>
    <row r="121" spans="1:30" x14ac:dyDescent="0.35">
      <c r="A121" s="4" t="s">
        <v>34</v>
      </c>
      <c r="B121" s="2">
        <v>2023</v>
      </c>
      <c r="C121" s="2" t="s">
        <v>31</v>
      </c>
      <c r="D121" s="2">
        <v>173.8</v>
      </c>
      <c r="E121" s="2">
        <v>210.7</v>
      </c>
      <c r="F121" s="2">
        <v>194.5</v>
      </c>
      <c r="G121" s="2">
        <v>174.6</v>
      </c>
      <c r="H121" s="2">
        <v>187.2</v>
      </c>
      <c r="I121" s="2">
        <v>158.30000000000001</v>
      </c>
      <c r="J121" s="2">
        <v>153.9</v>
      </c>
      <c r="K121" s="2">
        <v>170.9</v>
      </c>
      <c r="L121" s="2">
        <v>121.1</v>
      </c>
      <c r="M121" s="2">
        <v>208.4</v>
      </c>
      <c r="N121" s="2">
        <v>171.4</v>
      </c>
      <c r="O121" s="2">
        <v>191.2</v>
      </c>
      <c r="P121" s="2">
        <v>198.2</v>
      </c>
      <c r="Q121" s="2">
        <v>184.9</v>
      </c>
      <c r="R121" s="2">
        <v>177.6</v>
      </c>
      <c r="S121" s="2">
        <v>172.1</v>
      </c>
      <c r="T121" s="2">
        <v>182</v>
      </c>
      <c r="U121" s="2">
        <v>172.9</v>
      </c>
      <c r="V121" s="2">
        <v>182.3</v>
      </c>
      <c r="W121" s="2">
        <v>163.6</v>
      </c>
      <c r="X121" s="2">
        <v>169.5</v>
      </c>
      <c r="Y121" s="2">
        <v>174.3</v>
      </c>
      <c r="Z121" s="2">
        <v>178.6</v>
      </c>
      <c r="AA121" s="2">
        <v>172.8</v>
      </c>
      <c r="AB121" s="2">
        <v>176.5</v>
      </c>
      <c r="AC121" s="9">
        <v>44927</v>
      </c>
      <c r="AD121" s="11">
        <f t="shared" si="1"/>
        <v>6.5178032589016377</v>
      </c>
    </row>
    <row r="122" spans="1:30" x14ac:dyDescent="0.35">
      <c r="A122" s="5" t="s">
        <v>34</v>
      </c>
      <c r="B122" s="3">
        <v>2023</v>
      </c>
      <c r="C122" s="3" t="s">
        <v>35</v>
      </c>
      <c r="D122" s="3">
        <v>174.4</v>
      </c>
      <c r="E122" s="3">
        <v>207.7</v>
      </c>
      <c r="F122" s="3">
        <v>175.2</v>
      </c>
      <c r="G122" s="3">
        <v>177.3</v>
      </c>
      <c r="H122" s="3">
        <v>179.3</v>
      </c>
      <c r="I122" s="3">
        <v>169.5</v>
      </c>
      <c r="J122" s="3">
        <v>152.69999999999999</v>
      </c>
      <c r="K122" s="3">
        <v>171</v>
      </c>
      <c r="L122" s="3">
        <v>120</v>
      </c>
      <c r="M122" s="3">
        <v>209.7</v>
      </c>
      <c r="N122" s="3">
        <v>172.3</v>
      </c>
      <c r="O122" s="3">
        <v>193</v>
      </c>
      <c r="P122" s="3">
        <v>199.5</v>
      </c>
      <c r="Q122" s="3">
        <v>186.2</v>
      </c>
      <c r="R122" s="3">
        <v>178.7</v>
      </c>
      <c r="S122" s="3">
        <v>173.5</v>
      </c>
      <c r="T122" s="3">
        <v>182.1</v>
      </c>
      <c r="U122" s="3">
        <v>174.2</v>
      </c>
      <c r="V122" s="3">
        <v>184.4</v>
      </c>
      <c r="W122" s="3">
        <v>164.2</v>
      </c>
      <c r="X122" s="3">
        <v>170.3</v>
      </c>
      <c r="Y122" s="3">
        <v>175</v>
      </c>
      <c r="Z122" s="3">
        <v>181</v>
      </c>
      <c r="AA122" s="3">
        <v>174.1</v>
      </c>
      <c r="AB122" s="3">
        <v>177.2</v>
      </c>
      <c r="AC122" s="8">
        <v>44958</v>
      </c>
      <c r="AD122" s="11">
        <f t="shared" si="1"/>
        <v>6.6827212522576733</v>
      </c>
    </row>
    <row r="123" spans="1:30" x14ac:dyDescent="0.35">
      <c r="A123" s="4" t="s">
        <v>34</v>
      </c>
      <c r="B123" s="2">
        <v>2023</v>
      </c>
      <c r="C123" s="2" t="s">
        <v>36</v>
      </c>
      <c r="D123" s="2">
        <v>174.4</v>
      </c>
      <c r="E123" s="2">
        <v>207.7</v>
      </c>
      <c r="F123" s="2">
        <v>175.2</v>
      </c>
      <c r="G123" s="2">
        <v>177.3</v>
      </c>
      <c r="H123" s="2">
        <v>179.2</v>
      </c>
      <c r="I123" s="2">
        <v>169.5</v>
      </c>
      <c r="J123" s="2">
        <v>152.80000000000001</v>
      </c>
      <c r="K123" s="2">
        <v>171.1</v>
      </c>
      <c r="L123" s="2">
        <v>120</v>
      </c>
      <c r="M123" s="2">
        <v>209.7</v>
      </c>
      <c r="N123" s="2">
        <v>172.3</v>
      </c>
      <c r="O123" s="2">
        <v>193</v>
      </c>
      <c r="P123" s="2">
        <v>199.5</v>
      </c>
      <c r="Q123" s="2">
        <v>186.1</v>
      </c>
      <c r="R123" s="2">
        <v>178.7</v>
      </c>
      <c r="S123" s="2">
        <v>173.5</v>
      </c>
      <c r="T123" s="2">
        <v>181.9</v>
      </c>
      <c r="U123" s="2">
        <v>174.2</v>
      </c>
      <c r="V123" s="2">
        <v>184.4</v>
      </c>
      <c r="W123" s="2">
        <v>164.2</v>
      </c>
      <c r="X123" s="2">
        <v>170.3</v>
      </c>
      <c r="Y123" s="2">
        <v>175</v>
      </c>
      <c r="Z123" s="2">
        <v>181</v>
      </c>
      <c r="AA123" s="2">
        <v>174.1</v>
      </c>
      <c r="AB123" s="2">
        <v>177.2</v>
      </c>
      <c r="AC123" s="9">
        <v>44986</v>
      </c>
      <c r="AD123" s="11">
        <f t="shared" si="1"/>
        <v>5.6648777579010146</v>
      </c>
    </row>
    <row r="124" spans="1:30" x14ac:dyDescent="0.35">
      <c r="A124" s="5" t="s">
        <v>34</v>
      </c>
      <c r="B124" s="3">
        <v>2023</v>
      </c>
      <c r="C124" s="3" t="s">
        <v>37</v>
      </c>
      <c r="D124" s="3">
        <v>173.8</v>
      </c>
      <c r="E124" s="3">
        <v>209.3</v>
      </c>
      <c r="F124" s="3">
        <v>169.6</v>
      </c>
      <c r="G124" s="3">
        <v>178.4</v>
      </c>
      <c r="H124" s="3">
        <v>174.9</v>
      </c>
      <c r="I124" s="3">
        <v>176.3</v>
      </c>
      <c r="J124" s="3">
        <v>155.4</v>
      </c>
      <c r="K124" s="3">
        <v>173.4</v>
      </c>
      <c r="L124" s="3">
        <v>121.3</v>
      </c>
      <c r="M124" s="3">
        <v>212.9</v>
      </c>
      <c r="N124" s="3">
        <v>172.9</v>
      </c>
      <c r="O124" s="3">
        <v>193.5</v>
      </c>
      <c r="P124" s="3">
        <v>200.6</v>
      </c>
      <c r="Q124" s="3">
        <v>186.9</v>
      </c>
      <c r="R124" s="3">
        <v>179.2</v>
      </c>
      <c r="S124" s="3">
        <v>175.2</v>
      </c>
      <c r="T124" s="3">
        <v>181.7</v>
      </c>
      <c r="U124" s="3">
        <v>174.6</v>
      </c>
      <c r="V124" s="3">
        <v>185</v>
      </c>
      <c r="W124" s="3">
        <v>164.5</v>
      </c>
      <c r="X124" s="3">
        <v>170.7</v>
      </c>
      <c r="Y124" s="3">
        <v>176.4</v>
      </c>
      <c r="Z124" s="3">
        <v>184</v>
      </c>
      <c r="AA124" s="3">
        <v>175</v>
      </c>
      <c r="AB124" s="3">
        <v>178.1</v>
      </c>
      <c r="AC124" s="8">
        <v>45017</v>
      </c>
      <c r="AD124" s="11">
        <f t="shared" si="1"/>
        <v>4.7031158142269254</v>
      </c>
    </row>
    <row r="125" spans="1:30" x14ac:dyDescent="0.35">
      <c r="A125" s="4" t="s">
        <v>34</v>
      </c>
      <c r="B125" s="2">
        <v>2023</v>
      </c>
      <c r="C125" s="2" t="s">
        <v>38</v>
      </c>
      <c r="D125" s="2">
        <v>173.7</v>
      </c>
      <c r="E125" s="2">
        <v>214.3</v>
      </c>
      <c r="F125" s="2">
        <v>173.2</v>
      </c>
      <c r="G125" s="2">
        <v>179.5</v>
      </c>
      <c r="H125" s="2">
        <v>170</v>
      </c>
      <c r="I125" s="2">
        <v>172.2</v>
      </c>
      <c r="J125" s="2">
        <v>161</v>
      </c>
      <c r="K125" s="2">
        <v>175.6</v>
      </c>
      <c r="L125" s="2">
        <v>122.7</v>
      </c>
      <c r="M125" s="2">
        <v>218</v>
      </c>
      <c r="N125" s="2">
        <v>173.4</v>
      </c>
      <c r="O125" s="2">
        <v>194.2</v>
      </c>
      <c r="P125" s="2">
        <v>201</v>
      </c>
      <c r="Q125" s="2">
        <v>187.3</v>
      </c>
      <c r="R125" s="2">
        <v>179.7</v>
      </c>
      <c r="S125" s="2">
        <v>175.6</v>
      </c>
      <c r="T125" s="2">
        <v>182.8</v>
      </c>
      <c r="U125" s="2">
        <v>175.2</v>
      </c>
      <c r="V125" s="2">
        <v>185.7</v>
      </c>
      <c r="W125" s="2">
        <v>164.8</v>
      </c>
      <c r="X125" s="2">
        <v>171.2</v>
      </c>
      <c r="Y125" s="2">
        <v>177.1</v>
      </c>
      <c r="Z125" s="2">
        <v>185.2</v>
      </c>
      <c r="AA125" s="2">
        <v>175.7</v>
      </c>
      <c r="AB125" s="2">
        <v>179.1</v>
      </c>
      <c r="AC125" s="9">
        <v>45047</v>
      </c>
      <c r="AD125" s="11">
        <f t="shared" si="1"/>
        <v>4.3098427489807838</v>
      </c>
    </row>
  </sheetData>
  <autoFilter ref="AC1:AC125" xr:uid="{998A9D79-E067-4C85-9DB8-701A0449F966}">
    <filterColumn colId="0">
      <filters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AF26F-EE1D-449B-9B14-737773AD772B}">
  <dimension ref="A1:AF373"/>
  <sheetViews>
    <sheetView zoomScale="95" zoomScaleNormal="95" workbookViewId="0">
      <selection activeCell="D337" sqref="D337"/>
    </sheetView>
  </sheetViews>
  <sheetFormatPr defaultRowHeight="14.5" x14ac:dyDescent="0.35"/>
  <cols>
    <col min="1" max="1" width="11.6328125" customWidth="1"/>
    <col min="2" max="2" width="7.26953125" bestFit="1" customWidth="1"/>
    <col min="3" max="3" width="10" bestFit="1" customWidth="1"/>
    <col min="4" max="4" width="22" bestFit="1" customWidth="1"/>
    <col min="5" max="5" width="15.6328125" bestFit="1" customWidth="1"/>
    <col min="7" max="7" width="19.54296875" bestFit="1" customWidth="1"/>
    <col min="8" max="8" width="14.26953125" bestFit="1" customWidth="1"/>
    <col min="9" max="9" width="8.54296875" bestFit="1" customWidth="1"/>
    <col min="10" max="10" width="13.26953125" bestFit="1" customWidth="1"/>
    <col min="11" max="11" width="21.26953125" bestFit="1" customWidth="1"/>
    <col min="12" max="12" width="25.453125" bestFit="1" customWidth="1"/>
    <col min="13" max="13" width="9.1796875" bestFit="1" customWidth="1"/>
    <col min="14" max="14" width="25.36328125" bestFit="1" customWidth="1"/>
    <col min="15" max="15" width="32.81640625" customWidth="1"/>
    <col min="16" max="16" width="20.453125" bestFit="1" customWidth="1"/>
    <col min="17" max="17" width="26.90625" customWidth="1"/>
    <col min="18" max="18" width="9.90625" customWidth="1"/>
    <col min="19" max="19" width="11.453125" customWidth="1"/>
    <col min="20" max="20" width="22.26953125" bestFit="1" customWidth="1"/>
    <col min="21" max="21" width="10.6328125" bestFit="1" customWidth="1"/>
    <col min="22" max="22" width="15.1796875" bestFit="1" customWidth="1"/>
    <col min="23" max="23" width="28.81640625" bestFit="1" customWidth="1"/>
    <col min="24" max="24" width="9.453125" bestFit="1" customWidth="1"/>
    <col min="25" max="25" width="28.81640625" bestFit="1" customWidth="1"/>
    <col min="26" max="26" width="26.7265625" bestFit="1" customWidth="1"/>
    <col min="27" max="27" width="12" bestFit="1" customWidth="1"/>
    <col min="28" max="28" width="23.81640625" customWidth="1"/>
    <col min="29" max="29" width="14.6328125" customWidth="1"/>
    <col min="30" max="30" width="14.36328125" customWidth="1"/>
    <col min="31" max="31" width="13" bestFit="1" customWidth="1"/>
    <col min="32" max="32" width="10.54296875" style="7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49</v>
      </c>
      <c r="AF1" s="7" t="s">
        <v>50</v>
      </c>
    </row>
    <row r="2" spans="1:32" hidden="1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>
        <v>139.19999999999999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  <c r="AE2">
        <f t="shared" ref="AE2:AE65" si="0">IF(C2="January",1,IF(C2="February",2,IF(C2="March",3,IF(C2="April",4,IF(C2="May",5,IF(C2="June",6,IF(C2="July",7,IF(C2="August",8,IF(C2="September",9,IF(C2="October",10,IF(C2="November",11,IF(C2="December",12,""))))))))))))</f>
        <v>1</v>
      </c>
      <c r="AF2" s="7">
        <f t="shared" ref="AF2:AF65" si="1">DATE(B2,AE2,1)</f>
        <v>41275</v>
      </c>
    </row>
    <row r="3" spans="1:32" hidden="1" x14ac:dyDescent="0.3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E3">
        <f t="shared" si="0"/>
        <v>1</v>
      </c>
      <c r="AF3" s="7">
        <f t="shared" si="1"/>
        <v>41275</v>
      </c>
    </row>
    <row r="4" spans="1:32" ht="15" hidden="1" customHeight="1" x14ac:dyDescent="0.3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E4">
        <f t="shared" si="0"/>
        <v>1</v>
      </c>
      <c r="AF4" s="7">
        <f t="shared" si="1"/>
        <v>41275</v>
      </c>
    </row>
    <row r="5" spans="1:32" hidden="1" x14ac:dyDescent="0.3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>
        <v>139.19999999999999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E5">
        <f t="shared" si="0"/>
        <v>2</v>
      </c>
      <c r="AF5" s="7">
        <f t="shared" si="1"/>
        <v>41306</v>
      </c>
    </row>
    <row r="6" spans="1:32" hidden="1" x14ac:dyDescent="0.3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E6">
        <f t="shared" si="0"/>
        <v>2</v>
      </c>
      <c r="AF6" s="7">
        <f t="shared" si="1"/>
        <v>41306</v>
      </c>
    </row>
    <row r="7" spans="1:32" hidden="1" x14ac:dyDescent="0.3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  <c r="AE7">
        <f t="shared" si="0"/>
        <v>2</v>
      </c>
      <c r="AF7" s="7">
        <f t="shared" si="1"/>
        <v>41306</v>
      </c>
    </row>
    <row r="8" spans="1:32" hidden="1" x14ac:dyDescent="0.3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>
        <v>139.19999999999999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  <c r="AE8">
        <f t="shared" si="0"/>
        <v>3</v>
      </c>
      <c r="AF8" s="7">
        <f t="shared" si="1"/>
        <v>41334</v>
      </c>
    </row>
    <row r="9" spans="1:32" hidden="1" x14ac:dyDescent="0.3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  <c r="AE9">
        <f t="shared" si="0"/>
        <v>3</v>
      </c>
      <c r="AF9" s="7">
        <f t="shared" si="1"/>
        <v>41334</v>
      </c>
    </row>
    <row r="10" spans="1:32" hidden="1" x14ac:dyDescent="0.3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  <c r="AE10">
        <f t="shared" si="0"/>
        <v>3</v>
      </c>
      <c r="AF10" s="7">
        <f t="shared" si="1"/>
        <v>41334</v>
      </c>
    </row>
    <row r="11" spans="1:32" hidden="1" x14ac:dyDescent="0.3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>
        <v>139.19999999999999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  <c r="AE11">
        <f t="shared" si="0"/>
        <v>4</v>
      </c>
      <c r="AF11" s="7">
        <f t="shared" si="1"/>
        <v>41365</v>
      </c>
    </row>
    <row r="12" spans="1:32" hidden="1" x14ac:dyDescent="0.3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  <c r="AE12">
        <f t="shared" si="0"/>
        <v>4</v>
      </c>
      <c r="AF12" s="7">
        <f t="shared" si="1"/>
        <v>41365</v>
      </c>
    </row>
    <row r="13" spans="1:32" hidden="1" x14ac:dyDescent="0.3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E13">
        <f t="shared" si="0"/>
        <v>4</v>
      </c>
      <c r="AF13" s="7">
        <f t="shared" si="1"/>
        <v>41365</v>
      </c>
    </row>
    <row r="14" spans="1:32" hidden="1" x14ac:dyDescent="0.3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>
        <v>139.19999999999999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  <c r="AE14">
        <f t="shared" si="0"/>
        <v>5</v>
      </c>
      <c r="AF14" s="7">
        <f t="shared" si="1"/>
        <v>41395</v>
      </c>
    </row>
    <row r="15" spans="1:32" hidden="1" x14ac:dyDescent="0.3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E15">
        <f t="shared" si="0"/>
        <v>5</v>
      </c>
      <c r="AF15" s="7">
        <f t="shared" si="1"/>
        <v>41395</v>
      </c>
    </row>
    <row r="16" spans="1:32" hidden="1" x14ac:dyDescent="0.3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  <c r="AE16">
        <f t="shared" si="0"/>
        <v>5</v>
      </c>
      <c r="AF16" s="7">
        <f t="shared" si="1"/>
        <v>41395</v>
      </c>
    </row>
    <row r="17" spans="1:32" hidden="1" x14ac:dyDescent="0.3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>
        <v>139.19999999999999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  <c r="AE17">
        <f t="shared" si="0"/>
        <v>6</v>
      </c>
      <c r="AF17" s="7">
        <f t="shared" si="1"/>
        <v>41426</v>
      </c>
    </row>
    <row r="18" spans="1:32" hidden="1" x14ac:dyDescent="0.3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  <c r="AE18">
        <f t="shared" si="0"/>
        <v>6</v>
      </c>
      <c r="AF18" s="7">
        <f t="shared" si="1"/>
        <v>41426</v>
      </c>
    </row>
    <row r="19" spans="1:32" hidden="1" x14ac:dyDescent="0.3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  <c r="AE19">
        <f t="shared" si="0"/>
        <v>6</v>
      </c>
      <c r="AF19" s="7">
        <f t="shared" si="1"/>
        <v>41426</v>
      </c>
    </row>
    <row r="20" spans="1:32" hidden="1" x14ac:dyDescent="0.3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>
        <v>139.19999999999999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  <c r="AE20">
        <f t="shared" si="0"/>
        <v>7</v>
      </c>
      <c r="AF20" s="7">
        <f t="shared" si="1"/>
        <v>41456</v>
      </c>
    </row>
    <row r="21" spans="1:32" hidden="1" x14ac:dyDescent="0.3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  <c r="AE21">
        <f t="shared" si="0"/>
        <v>7</v>
      </c>
      <c r="AF21" s="7">
        <f t="shared" si="1"/>
        <v>41456</v>
      </c>
    </row>
    <row r="22" spans="1:32" hidden="1" x14ac:dyDescent="0.3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  <c r="AE22">
        <f t="shared" si="0"/>
        <v>7</v>
      </c>
      <c r="AF22" s="7">
        <f t="shared" si="1"/>
        <v>41456</v>
      </c>
    </row>
    <row r="23" spans="1:32" hidden="1" x14ac:dyDescent="0.3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>
        <v>139.19999999999999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  <c r="AE23">
        <f t="shared" si="0"/>
        <v>8</v>
      </c>
      <c r="AF23" s="7">
        <f t="shared" si="1"/>
        <v>41487</v>
      </c>
    </row>
    <row r="24" spans="1:32" hidden="1" x14ac:dyDescent="0.3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  <c r="AE24">
        <f t="shared" si="0"/>
        <v>8</v>
      </c>
      <c r="AF24" s="7">
        <f t="shared" si="1"/>
        <v>41487</v>
      </c>
    </row>
    <row r="25" spans="1:32" hidden="1" x14ac:dyDescent="0.3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  <c r="AE25">
        <f t="shared" si="0"/>
        <v>8</v>
      </c>
      <c r="AF25" s="7">
        <f t="shared" si="1"/>
        <v>41487</v>
      </c>
    </row>
    <row r="26" spans="1:32" hidden="1" x14ac:dyDescent="0.3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>
        <v>139.19999999999999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  <c r="AE26">
        <f t="shared" si="0"/>
        <v>9</v>
      </c>
      <c r="AF26" s="7">
        <f t="shared" si="1"/>
        <v>41518</v>
      </c>
    </row>
    <row r="27" spans="1:32" hidden="1" x14ac:dyDescent="0.3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  <c r="AE27">
        <f t="shared" si="0"/>
        <v>9</v>
      </c>
      <c r="AF27" s="7">
        <f t="shared" si="1"/>
        <v>41518</v>
      </c>
    </row>
    <row r="28" spans="1:32" hidden="1" x14ac:dyDescent="0.3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  <c r="AE28">
        <f t="shared" si="0"/>
        <v>9</v>
      </c>
      <c r="AF28" s="7">
        <f t="shared" si="1"/>
        <v>41518</v>
      </c>
    </row>
    <row r="29" spans="1:32" hidden="1" x14ac:dyDescent="0.3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>
        <v>139.19999999999999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  <c r="AE29">
        <f t="shared" si="0"/>
        <v>10</v>
      </c>
      <c r="AF29" s="7">
        <f t="shared" si="1"/>
        <v>41548</v>
      </c>
    </row>
    <row r="30" spans="1:32" hidden="1" x14ac:dyDescent="0.3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  <c r="AE30">
        <f t="shared" si="0"/>
        <v>10</v>
      </c>
      <c r="AF30" s="7">
        <f t="shared" si="1"/>
        <v>41548</v>
      </c>
    </row>
    <row r="31" spans="1:32" hidden="1" x14ac:dyDescent="0.3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  <c r="AE31">
        <f t="shared" si="0"/>
        <v>10</v>
      </c>
      <c r="AF31" s="7">
        <f t="shared" si="1"/>
        <v>41548</v>
      </c>
    </row>
    <row r="32" spans="1:32" hidden="1" x14ac:dyDescent="0.3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>
        <v>139.19999999999999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  <c r="AE32">
        <v>11</v>
      </c>
      <c r="AF32" s="7">
        <f t="shared" si="1"/>
        <v>41579</v>
      </c>
    </row>
    <row r="33" spans="1:32" hidden="1" x14ac:dyDescent="0.3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  <c r="AE33">
        <f t="shared" si="0"/>
        <v>11</v>
      </c>
      <c r="AF33" s="7">
        <f t="shared" si="1"/>
        <v>41579</v>
      </c>
    </row>
    <row r="34" spans="1:32" hidden="1" x14ac:dyDescent="0.3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  <c r="AE34">
        <f t="shared" si="0"/>
        <v>11</v>
      </c>
      <c r="AF34" s="7">
        <f t="shared" si="1"/>
        <v>41579</v>
      </c>
    </row>
    <row r="35" spans="1:32" hidden="1" x14ac:dyDescent="0.3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>
        <v>139.19999999999999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  <c r="AE35">
        <f t="shared" si="0"/>
        <v>12</v>
      </c>
      <c r="AF35" s="7">
        <f t="shared" si="1"/>
        <v>41609</v>
      </c>
    </row>
    <row r="36" spans="1:32" hidden="1" x14ac:dyDescent="0.3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  <c r="AE36">
        <f t="shared" si="0"/>
        <v>12</v>
      </c>
      <c r="AF36" s="7">
        <f t="shared" si="1"/>
        <v>41609</v>
      </c>
    </row>
    <row r="37" spans="1:32" hidden="1" x14ac:dyDescent="0.3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  <c r="AE37">
        <f t="shared" si="0"/>
        <v>12</v>
      </c>
      <c r="AF37" s="7">
        <f t="shared" si="1"/>
        <v>41609</v>
      </c>
    </row>
    <row r="38" spans="1:32" hidden="1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>
        <v>139.19999999999999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  <c r="AE38">
        <f t="shared" si="0"/>
        <v>1</v>
      </c>
      <c r="AF38" s="7">
        <f t="shared" si="1"/>
        <v>41640</v>
      </c>
    </row>
    <row r="39" spans="1:32" hidden="1" x14ac:dyDescent="0.3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  <c r="AE39">
        <f t="shared" si="0"/>
        <v>1</v>
      </c>
      <c r="AF39" s="7">
        <f t="shared" si="1"/>
        <v>41640</v>
      </c>
    </row>
    <row r="40" spans="1:32" hidden="1" x14ac:dyDescent="0.3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  <c r="AE40">
        <f t="shared" si="0"/>
        <v>1</v>
      </c>
      <c r="AF40" s="7">
        <f t="shared" si="1"/>
        <v>41640</v>
      </c>
    </row>
    <row r="41" spans="1:32" hidden="1" x14ac:dyDescent="0.3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>
        <v>139.19999999999999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  <c r="AE41">
        <f t="shared" si="0"/>
        <v>2</v>
      </c>
      <c r="AF41" s="7">
        <f t="shared" si="1"/>
        <v>41671</v>
      </c>
    </row>
    <row r="42" spans="1:32" hidden="1" x14ac:dyDescent="0.3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  <c r="AE42">
        <f t="shared" si="0"/>
        <v>2</v>
      </c>
      <c r="AF42" s="7">
        <f t="shared" si="1"/>
        <v>41671</v>
      </c>
    </row>
    <row r="43" spans="1:32" hidden="1" x14ac:dyDescent="0.3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  <c r="AE43">
        <f t="shared" si="0"/>
        <v>2</v>
      </c>
      <c r="AF43" s="7">
        <f t="shared" si="1"/>
        <v>41671</v>
      </c>
    </row>
    <row r="44" spans="1:32" hidden="1" x14ac:dyDescent="0.3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>
        <v>139.19999999999999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  <c r="AE44">
        <f t="shared" si="0"/>
        <v>3</v>
      </c>
      <c r="AF44" s="7">
        <f t="shared" si="1"/>
        <v>41699</v>
      </c>
    </row>
    <row r="45" spans="1:32" hidden="1" x14ac:dyDescent="0.3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  <c r="AE45">
        <f t="shared" si="0"/>
        <v>3</v>
      </c>
      <c r="AF45" s="7">
        <f t="shared" si="1"/>
        <v>41699</v>
      </c>
    </row>
    <row r="46" spans="1:32" hidden="1" x14ac:dyDescent="0.35">
      <c r="A46" t="s">
        <v>34</v>
      </c>
      <c r="B46">
        <v>2014</v>
      </c>
      <c r="C46" t="s">
        <v>36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  <c r="AE46">
        <f t="shared" si="0"/>
        <v>3</v>
      </c>
      <c r="AF46" s="7">
        <f t="shared" si="1"/>
        <v>41699</v>
      </c>
    </row>
    <row r="47" spans="1:32" hidden="1" x14ac:dyDescent="0.3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>
        <v>139.19999999999999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  <c r="AE47">
        <f t="shared" si="0"/>
        <v>4</v>
      </c>
      <c r="AF47" s="7">
        <f t="shared" si="1"/>
        <v>41730</v>
      </c>
    </row>
    <row r="48" spans="1:32" hidden="1" x14ac:dyDescent="0.3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  <c r="AE48">
        <f t="shared" si="0"/>
        <v>4</v>
      </c>
      <c r="AF48" s="7">
        <f t="shared" si="1"/>
        <v>41730</v>
      </c>
    </row>
    <row r="49" spans="1:32" hidden="1" x14ac:dyDescent="0.3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  <c r="AE49">
        <f t="shared" si="0"/>
        <v>4</v>
      </c>
      <c r="AF49" s="7">
        <f t="shared" si="1"/>
        <v>41730</v>
      </c>
    </row>
    <row r="50" spans="1:32" hidden="1" x14ac:dyDescent="0.3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>
        <v>139.19999999999999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  <c r="AE50">
        <f t="shared" si="0"/>
        <v>5</v>
      </c>
      <c r="AF50" s="7">
        <f t="shared" si="1"/>
        <v>41760</v>
      </c>
    </row>
    <row r="51" spans="1:32" hidden="1" x14ac:dyDescent="0.3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  <c r="AE51">
        <f t="shared" si="0"/>
        <v>5</v>
      </c>
      <c r="AF51" s="7">
        <f t="shared" si="1"/>
        <v>41760</v>
      </c>
    </row>
    <row r="52" spans="1:32" hidden="1" x14ac:dyDescent="0.3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  <c r="AE52">
        <f t="shared" si="0"/>
        <v>5</v>
      </c>
      <c r="AF52" s="7">
        <f t="shared" si="1"/>
        <v>41760</v>
      </c>
    </row>
    <row r="53" spans="1:32" hidden="1" x14ac:dyDescent="0.3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>
        <v>139.19999999999999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  <c r="AE53">
        <f t="shared" si="0"/>
        <v>6</v>
      </c>
      <c r="AF53" s="7">
        <f t="shared" si="1"/>
        <v>41791</v>
      </c>
    </row>
    <row r="54" spans="1:32" hidden="1" x14ac:dyDescent="0.3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  <c r="AE54">
        <f t="shared" si="0"/>
        <v>6</v>
      </c>
      <c r="AF54" s="7">
        <f t="shared" si="1"/>
        <v>41791</v>
      </c>
    </row>
    <row r="55" spans="1:32" hidden="1" x14ac:dyDescent="0.3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  <c r="AE55">
        <f t="shared" si="0"/>
        <v>6</v>
      </c>
      <c r="AF55" s="7">
        <f t="shared" si="1"/>
        <v>41791</v>
      </c>
    </row>
    <row r="56" spans="1:32" hidden="1" x14ac:dyDescent="0.3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>
        <v>139.19999999999999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  <c r="AE56">
        <f t="shared" si="0"/>
        <v>7</v>
      </c>
      <c r="AF56" s="7">
        <f t="shared" si="1"/>
        <v>41821</v>
      </c>
    </row>
    <row r="57" spans="1:32" hidden="1" x14ac:dyDescent="0.3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  <c r="AE57">
        <f t="shared" si="0"/>
        <v>7</v>
      </c>
      <c r="AF57" s="7">
        <f t="shared" si="1"/>
        <v>41821</v>
      </c>
    </row>
    <row r="58" spans="1:32" hidden="1" x14ac:dyDescent="0.3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  <c r="AE58">
        <f t="shared" si="0"/>
        <v>7</v>
      </c>
      <c r="AF58" s="7">
        <f t="shared" si="1"/>
        <v>41821</v>
      </c>
    </row>
    <row r="59" spans="1:32" hidden="1" x14ac:dyDescent="0.3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>
        <v>139.19999999999999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  <c r="AE59">
        <f t="shared" si="0"/>
        <v>8</v>
      </c>
      <c r="AF59" s="7">
        <f t="shared" si="1"/>
        <v>41852</v>
      </c>
    </row>
    <row r="60" spans="1:32" hidden="1" x14ac:dyDescent="0.3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  <c r="AE60">
        <f t="shared" si="0"/>
        <v>8</v>
      </c>
      <c r="AF60" s="7">
        <f t="shared" si="1"/>
        <v>41852</v>
      </c>
    </row>
    <row r="61" spans="1:32" hidden="1" x14ac:dyDescent="0.3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  <c r="AE61">
        <f t="shared" si="0"/>
        <v>8</v>
      </c>
      <c r="AF61" s="7">
        <f t="shared" si="1"/>
        <v>41852</v>
      </c>
    </row>
    <row r="62" spans="1:32" hidden="1" x14ac:dyDescent="0.3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>
        <v>139.19999999999999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  <c r="AE62">
        <f t="shared" si="0"/>
        <v>9</v>
      </c>
      <c r="AF62" s="7">
        <f t="shared" si="1"/>
        <v>41883</v>
      </c>
    </row>
    <row r="63" spans="1:32" hidden="1" x14ac:dyDescent="0.3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  <c r="AE63">
        <f t="shared" si="0"/>
        <v>9</v>
      </c>
      <c r="AF63" s="7">
        <f t="shared" si="1"/>
        <v>41883</v>
      </c>
    </row>
    <row r="64" spans="1:32" hidden="1" x14ac:dyDescent="0.3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  <c r="AE64">
        <f t="shared" si="0"/>
        <v>9</v>
      </c>
      <c r="AF64" s="7">
        <f t="shared" si="1"/>
        <v>41883</v>
      </c>
    </row>
    <row r="65" spans="1:32" hidden="1" x14ac:dyDescent="0.3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>
        <v>139.19999999999999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  <c r="AE65">
        <f t="shared" si="0"/>
        <v>10</v>
      </c>
      <c r="AF65" s="7">
        <f t="shared" si="1"/>
        <v>41913</v>
      </c>
    </row>
    <row r="66" spans="1:32" hidden="1" x14ac:dyDescent="0.3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  <c r="AE66">
        <f t="shared" ref="AE66:AE129" si="2">IF(C66="January",1,IF(C66="February",2,IF(C66="March",3,IF(C66="April",4,IF(C66="May",5,IF(C66="June",6,IF(C66="July",7,IF(C66="August",8,IF(C66="September",9,IF(C66="October",10,IF(C66="November",11,IF(C66="December",12,""))))))))))))</f>
        <v>10</v>
      </c>
      <c r="AF66" s="7">
        <f t="shared" ref="AF66:AF129" si="3">DATE(B66,AE66,1)</f>
        <v>41913</v>
      </c>
    </row>
    <row r="67" spans="1:32" hidden="1" x14ac:dyDescent="0.3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  <c r="AE67">
        <f t="shared" si="2"/>
        <v>10</v>
      </c>
      <c r="AF67" s="7">
        <f t="shared" si="3"/>
        <v>41913</v>
      </c>
    </row>
    <row r="68" spans="1:32" hidden="1" x14ac:dyDescent="0.3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>
        <v>139.19999999999999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  <c r="AE68">
        <f t="shared" si="2"/>
        <v>11</v>
      </c>
      <c r="AF68" s="7">
        <f t="shared" si="3"/>
        <v>41944</v>
      </c>
    </row>
    <row r="69" spans="1:32" hidden="1" x14ac:dyDescent="0.3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  <c r="AE69">
        <f t="shared" si="2"/>
        <v>11</v>
      </c>
      <c r="AF69" s="7">
        <f t="shared" si="3"/>
        <v>41944</v>
      </c>
    </row>
    <row r="70" spans="1:32" hidden="1" x14ac:dyDescent="0.3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  <c r="AE70">
        <f t="shared" si="2"/>
        <v>11</v>
      </c>
      <c r="AF70" s="7">
        <f t="shared" si="3"/>
        <v>41944</v>
      </c>
    </row>
    <row r="71" spans="1:32" hidden="1" x14ac:dyDescent="0.3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>
        <v>139.19999999999999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  <c r="AE71">
        <f t="shared" si="2"/>
        <v>12</v>
      </c>
      <c r="AF71" s="7">
        <f t="shared" si="3"/>
        <v>41974</v>
      </c>
    </row>
    <row r="72" spans="1:32" hidden="1" x14ac:dyDescent="0.3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  <c r="AE72">
        <f t="shared" si="2"/>
        <v>12</v>
      </c>
      <c r="AF72" s="7">
        <f t="shared" si="3"/>
        <v>41974</v>
      </c>
    </row>
    <row r="73" spans="1:32" hidden="1" x14ac:dyDescent="0.3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  <c r="AE73">
        <f t="shared" si="2"/>
        <v>12</v>
      </c>
      <c r="AF73" s="7">
        <f t="shared" si="3"/>
        <v>41974</v>
      </c>
    </row>
    <row r="74" spans="1:32" hidden="1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>
        <v>139.19999999999999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  <c r="AE74">
        <f t="shared" si="2"/>
        <v>1</v>
      </c>
      <c r="AF74" s="7">
        <f t="shared" si="3"/>
        <v>42005</v>
      </c>
    </row>
    <row r="75" spans="1:32" hidden="1" x14ac:dyDescent="0.3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  <c r="AE75">
        <f t="shared" si="2"/>
        <v>1</v>
      </c>
      <c r="AF75" s="7">
        <f t="shared" si="3"/>
        <v>42005</v>
      </c>
    </row>
    <row r="76" spans="1:32" hidden="1" x14ac:dyDescent="0.3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  <c r="AE76">
        <f t="shared" si="2"/>
        <v>1</v>
      </c>
      <c r="AF76" s="7">
        <f t="shared" si="3"/>
        <v>42005</v>
      </c>
    </row>
    <row r="77" spans="1:32" hidden="1" x14ac:dyDescent="0.3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>
        <v>139.19999999999999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  <c r="AE77">
        <f t="shared" si="2"/>
        <v>2</v>
      </c>
      <c r="AF77" s="7">
        <f t="shared" si="3"/>
        <v>42036</v>
      </c>
    </row>
    <row r="78" spans="1:32" hidden="1" x14ac:dyDescent="0.3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  <c r="AE78">
        <f t="shared" si="2"/>
        <v>2</v>
      </c>
      <c r="AF78" s="7">
        <f t="shared" si="3"/>
        <v>42036</v>
      </c>
    </row>
    <row r="79" spans="1:32" hidden="1" x14ac:dyDescent="0.3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  <c r="AE79">
        <f t="shared" si="2"/>
        <v>2</v>
      </c>
      <c r="AF79" s="7">
        <f t="shared" si="3"/>
        <v>42036</v>
      </c>
    </row>
    <row r="80" spans="1:32" hidden="1" x14ac:dyDescent="0.3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>
        <v>139.19999999999999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  <c r="AE80">
        <f t="shared" si="2"/>
        <v>3</v>
      </c>
      <c r="AF80" s="7">
        <f t="shared" si="3"/>
        <v>42064</v>
      </c>
    </row>
    <row r="81" spans="1:32" hidden="1" x14ac:dyDescent="0.3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  <c r="AE81">
        <f t="shared" si="2"/>
        <v>3</v>
      </c>
      <c r="AF81" s="7">
        <f t="shared" si="3"/>
        <v>42064</v>
      </c>
    </row>
    <row r="82" spans="1:32" hidden="1" x14ac:dyDescent="0.3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  <c r="AE82">
        <f t="shared" si="2"/>
        <v>3</v>
      </c>
      <c r="AF82" s="7">
        <f t="shared" si="3"/>
        <v>42064</v>
      </c>
    </row>
    <row r="83" spans="1:32" hidden="1" x14ac:dyDescent="0.3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>
        <v>139.19999999999999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  <c r="AE83">
        <f t="shared" si="2"/>
        <v>4</v>
      </c>
      <c r="AF83" s="7">
        <f t="shared" si="3"/>
        <v>42095</v>
      </c>
    </row>
    <row r="84" spans="1:32" hidden="1" x14ac:dyDescent="0.3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  <c r="AE84">
        <f t="shared" si="2"/>
        <v>4</v>
      </c>
      <c r="AF84" s="7">
        <f t="shared" si="3"/>
        <v>42095</v>
      </c>
    </row>
    <row r="85" spans="1:32" hidden="1" x14ac:dyDescent="0.3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  <c r="AE85">
        <f t="shared" si="2"/>
        <v>4</v>
      </c>
      <c r="AF85" s="7">
        <f t="shared" si="3"/>
        <v>42095</v>
      </c>
    </row>
    <row r="86" spans="1:32" hidden="1" x14ac:dyDescent="0.3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>
        <v>139.19999999999999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  <c r="AE86">
        <f t="shared" si="2"/>
        <v>5</v>
      </c>
      <c r="AF86" s="7">
        <f t="shared" si="3"/>
        <v>42125</v>
      </c>
    </row>
    <row r="87" spans="1:32" hidden="1" x14ac:dyDescent="0.3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  <c r="AE87">
        <f t="shared" si="2"/>
        <v>5</v>
      </c>
      <c r="AF87" s="7">
        <f t="shared" si="3"/>
        <v>42125</v>
      </c>
    </row>
    <row r="88" spans="1:32" hidden="1" x14ac:dyDescent="0.3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  <c r="AE88">
        <f t="shared" si="2"/>
        <v>5</v>
      </c>
      <c r="AF88" s="7">
        <f t="shared" si="3"/>
        <v>42125</v>
      </c>
    </row>
    <row r="89" spans="1:32" hidden="1" x14ac:dyDescent="0.3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>
        <v>139.19999999999999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  <c r="AE89">
        <f t="shared" si="2"/>
        <v>6</v>
      </c>
      <c r="AF89" s="7">
        <f t="shared" si="3"/>
        <v>42156</v>
      </c>
    </row>
    <row r="90" spans="1:32" hidden="1" x14ac:dyDescent="0.3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  <c r="AE90">
        <f t="shared" si="2"/>
        <v>6</v>
      </c>
      <c r="AF90" s="7">
        <f t="shared" si="3"/>
        <v>42156</v>
      </c>
    </row>
    <row r="91" spans="1:32" hidden="1" x14ac:dyDescent="0.3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  <c r="AE91">
        <f t="shared" si="2"/>
        <v>6</v>
      </c>
      <c r="AF91" s="7">
        <f t="shared" si="3"/>
        <v>42156</v>
      </c>
    </row>
    <row r="92" spans="1:32" hidden="1" x14ac:dyDescent="0.3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>
        <v>139.19999999999999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  <c r="AE92">
        <f t="shared" si="2"/>
        <v>7</v>
      </c>
      <c r="AF92" s="7">
        <f t="shared" si="3"/>
        <v>42186</v>
      </c>
    </row>
    <row r="93" spans="1:32" hidden="1" x14ac:dyDescent="0.3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  <c r="AE93">
        <f t="shared" si="2"/>
        <v>7</v>
      </c>
      <c r="AF93" s="7">
        <f t="shared" si="3"/>
        <v>42186</v>
      </c>
    </row>
    <row r="94" spans="1:32" hidden="1" x14ac:dyDescent="0.3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  <c r="AE94">
        <f t="shared" si="2"/>
        <v>7</v>
      </c>
      <c r="AF94" s="7">
        <f t="shared" si="3"/>
        <v>42186</v>
      </c>
    </row>
    <row r="95" spans="1:32" hidden="1" x14ac:dyDescent="0.3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>
        <v>139.19999999999999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  <c r="AE95">
        <f t="shared" si="2"/>
        <v>8</v>
      </c>
      <c r="AF95" s="7">
        <f t="shared" si="3"/>
        <v>42217</v>
      </c>
    </row>
    <row r="96" spans="1:32" hidden="1" x14ac:dyDescent="0.3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  <c r="AE96">
        <f t="shared" si="2"/>
        <v>8</v>
      </c>
      <c r="AF96" s="7">
        <f t="shared" si="3"/>
        <v>42217</v>
      </c>
    </row>
    <row r="97" spans="1:32" hidden="1" x14ac:dyDescent="0.3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  <c r="AE97">
        <f t="shared" si="2"/>
        <v>8</v>
      </c>
      <c r="AF97" s="7">
        <f t="shared" si="3"/>
        <v>42217</v>
      </c>
    </row>
    <row r="98" spans="1:32" hidden="1" x14ac:dyDescent="0.3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>
        <v>139.19999999999999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  <c r="AE98">
        <f t="shared" si="2"/>
        <v>9</v>
      </c>
      <c r="AF98" s="7">
        <f t="shared" si="3"/>
        <v>42248</v>
      </c>
    </row>
    <row r="99" spans="1:32" hidden="1" x14ac:dyDescent="0.3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  <c r="AE99">
        <f t="shared" si="2"/>
        <v>9</v>
      </c>
      <c r="AF99" s="7">
        <f t="shared" si="3"/>
        <v>42248</v>
      </c>
    </row>
    <row r="100" spans="1:32" hidden="1" x14ac:dyDescent="0.3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  <c r="AE100">
        <f t="shared" si="2"/>
        <v>9</v>
      </c>
      <c r="AF100" s="7">
        <f t="shared" si="3"/>
        <v>42248</v>
      </c>
    </row>
    <row r="101" spans="1:32" hidden="1" x14ac:dyDescent="0.3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>
        <v>139.19999999999999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  <c r="AE101">
        <f t="shared" si="2"/>
        <v>10</v>
      </c>
      <c r="AF101" s="7">
        <f t="shared" si="3"/>
        <v>42278</v>
      </c>
    </row>
    <row r="102" spans="1:32" hidden="1" x14ac:dyDescent="0.3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  <c r="AE102">
        <f t="shared" si="2"/>
        <v>10</v>
      </c>
      <c r="AF102" s="7">
        <f t="shared" si="3"/>
        <v>42278</v>
      </c>
    </row>
    <row r="103" spans="1:32" hidden="1" x14ac:dyDescent="0.3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  <c r="AE103">
        <f t="shared" si="2"/>
        <v>10</v>
      </c>
      <c r="AF103" s="7">
        <f t="shared" si="3"/>
        <v>42278</v>
      </c>
    </row>
    <row r="104" spans="1:32" hidden="1" x14ac:dyDescent="0.3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>
        <v>139.19999999999999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  <c r="AE104">
        <f t="shared" si="2"/>
        <v>11</v>
      </c>
      <c r="AF104" s="7">
        <f t="shared" si="3"/>
        <v>42309</v>
      </c>
    </row>
    <row r="105" spans="1:32" hidden="1" x14ac:dyDescent="0.3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  <c r="AE105">
        <f t="shared" si="2"/>
        <v>11</v>
      </c>
      <c r="AF105" s="7">
        <f t="shared" si="3"/>
        <v>42309</v>
      </c>
    </row>
    <row r="106" spans="1:32" hidden="1" x14ac:dyDescent="0.3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  <c r="AE106">
        <f t="shared" si="2"/>
        <v>11</v>
      </c>
      <c r="AF106" s="7">
        <f t="shared" si="3"/>
        <v>42309</v>
      </c>
    </row>
    <row r="107" spans="1:32" hidden="1" x14ac:dyDescent="0.3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>
        <v>139.19999999999999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  <c r="AE107">
        <f t="shared" si="2"/>
        <v>12</v>
      </c>
      <c r="AF107" s="7">
        <f t="shared" si="3"/>
        <v>42339</v>
      </c>
    </row>
    <row r="108" spans="1:32" hidden="1" x14ac:dyDescent="0.3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  <c r="AE108">
        <f t="shared" si="2"/>
        <v>12</v>
      </c>
      <c r="AF108" s="7">
        <f t="shared" si="3"/>
        <v>42339</v>
      </c>
    </row>
    <row r="109" spans="1:32" hidden="1" x14ac:dyDescent="0.3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  <c r="AE109">
        <f t="shared" si="2"/>
        <v>12</v>
      </c>
      <c r="AF109" s="7">
        <f t="shared" si="3"/>
        <v>42339</v>
      </c>
    </row>
    <row r="110" spans="1:32" hidden="1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>
        <v>139.19999999999999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  <c r="AE110">
        <f t="shared" si="2"/>
        <v>1</v>
      </c>
      <c r="AF110" s="7">
        <f t="shared" si="3"/>
        <v>42370</v>
      </c>
    </row>
    <row r="111" spans="1:32" hidden="1" x14ac:dyDescent="0.3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  <c r="AE111">
        <f t="shared" si="2"/>
        <v>1</v>
      </c>
      <c r="AF111" s="7">
        <f t="shared" si="3"/>
        <v>42370</v>
      </c>
    </row>
    <row r="112" spans="1:32" hidden="1" x14ac:dyDescent="0.3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  <c r="AE112">
        <f t="shared" si="2"/>
        <v>1</v>
      </c>
      <c r="AF112" s="7">
        <f t="shared" si="3"/>
        <v>42370</v>
      </c>
    </row>
    <row r="113" spans="1:32" hidden="1" x14ac:dyDescent="0.3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>
        <v>139.19999999999999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  <c r="AE113">
        <f t="shared" si="2"/>
        <v>2</v>
      </c>
      <c r="AF113" s="7">
        <f t="shared" si="3"/>
        <v>42401</v>
      </c>
    </row>
    <row r="114" spans="1:32" hidden="1" x14ac:dyDescent="0.3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  <c r="AE114">
        <f t="shared" si="2"/>
        <v>2</v>
      </c>
      <c r="AF114" s="7">
        <f t="shared" si="3"/>
        <v>42401</v>
      </c>
    </row>
    <row r="115" spans="1:32" hidden="1" x14ac:dyDescent="0.3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  <c r="AE115">
        <f t="shared" si="2"/>
        <v>2</v>
      </c>
      <c r="AF115" s="7">
        <f t="shared" si="3"/>
        <v>42401</v>
      </c>
    </row>
    <row r="116" spans="1:32" hidden="1" x14ac:dyDescent="0.3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>
        <v>139.19999999999999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  <c r="AE116">
        <f t="shared" si="2"/>
        <v>3</v>
      </c>
      <c r="AF116" s="7">
        <f t="shared" si="3"/>
        <v>42430</v>
      </c>
    </row>
    <row r="117" spans="1:32" hidden="1" x14ac:dyDescent="0.3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  <c r="AE117">
        <f t="shared" si="2"/>
        <v>3</v>
      </c>
      <c r="AF117" s="7">
        <f t="shared" si="3"/>
        <v>42430</v>
      </c>
    </row>
    <row r="118" spans="1:32" hidden="1" x14ac:dyDescent="0.3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  <c r="AE118">
        <f t="shared" si="2"/>
        <v>3</v>
      </c>
      <c r="AF118" s="7">
        <f t="shared" si="3"/>
        <v>42430</v>
      </c>
    </row>
    <row r="119" spans="1:32" hidden="1" x14ac:dyDescent="0.3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>
        <v>139.19999999999999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  <c r="AE119">
        <f t="shared" si="2"/>
        <v>4</v>
      </c>
      <c r="AF119" s="7">
        <f t="shared" si="3"/>
        <v>42461</v>
      </c>
    </row>
    <row r="120" spans="1:32" hidden="1" x14ac:dyDescent="0.3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  <c r="AE120">
        <f t="shared" si="2"/>
        <v>4</v>
      </c>
      <c r="AF120" s="7">
        <f t="shared" si="3"/>
        <v>42461</v>
      </c>
    </row>
    <row r="121" spans="1:32" hidden="1" x14ac:dyDescent="0.3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  <c r="AE121">
        <f t="shared" si="2"/>
        <v>4</v>
      </c>
      <c r="AF121" s="7">
        <f t="shared" si="3"/>
        <v>42461</v>
      </c>
    </row>
    <row r="122" spans="1:32" hidden="1" x14ac:dyDescent="0.3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>
        <v>139.19999999999999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  <c r="AE122">
        <f t="shared" si="2"/>
        <v>5</v>
      </c>
      <c r="AF122" s="7">
        <f t="shared" si="3"/>
        <v>42491</v>
      </c>
    </row>
    <row r="123" spans="1:32" hidden="1" x14ac:dyDescent="0.3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  <c r="AE123">
        <f t="shared" si="2"/>
        <v>5</v>
      </c>
      <c r="AF123" s="7">
        <f t="shared" si="3"/>
        <v>42491</v>
      </c>
    </row>
    <row r="124" spans="1:32" hidden="1" x14ac:dyDescent="0.3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  <c r="AE124">
        <f t="shared" si="2"/>
        <v>5</v>
      </c>
      <c r="AF124" s="7">
        <f t="shared" si="3"/>
        <v>42491</v>
      </c>
    </row>
    <row r="125" spans="1:32" hidden="1" x14ac:dyDescent="0.3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>
        <v>139.19999999999999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  <c r="AE125">
        <f t="shared" si="2"/>
        <v>6</v>
      </c>
      <c r="AF125" s="7">
        <f t="shared" si="3"/>
        <v>42522</v>
      </c>
    </row>
    <row r="126" spans="1:32" hidden="1" x14ac:dyDescent="0.3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  <c r="AE126">
        <f t="shared" si="2"/>
        <v>6</v>
      </c>
      <c r="AF126" s="7">
        <f t="shared" si="3"/>
        <v>42522</v>
      </c>
    </row>
    <row r="127" spans="1:32" hidden="1" x14ac:dyDescent="0.3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  <c r="AE127">
        <f t="shared" si="2"/>
        <v>6</v>
      </c>
      <c r="AF127" s="7">
        <f t="shared" si="3"/>
        <v>42522</v>
      </c>
    </row>
    <row r="128" spans="1:32" hidden="1" x14ac:dyDescent="0.3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>
        <v>139.19999999999999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  <c r="AE128">
        <f t="shared" si="2"/>
        <v>7</v>
      </c>
      <c r="AF128" s="7">
        <f t="shared" si="3"/>
        <v>42552</v>
      </c>
    </row>
    <row r="129" spans="1:32" hidden="1" x14ac:dyDescent="0.3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  <c r="AE129">
        <f t="shared" si="2"/>
        <v>7</v>
      </c>
      <c r="AF129" s="7">
        <f t="shared" si="3"/>
        <v>42552</v>
      </c>
    </row>
    <row r="130" spans="1:32" hidden="1" x14ac:dyDescent="0.3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  <c r="AE130">
        <f t="shared" ref="AE130:AE193" si="4">IF(C130="January",1,IF(C130="February",2,IF(C130="March",3,IF(C130="April",4,IF(C130="May",5,IF(C130="June",6,IF(C130="July",7,IF(C130="August",8,IF(C130="September",9,IF(C130="October",10,IF(C130="November",11,IF(C130="December",12,""))))))))))))</f>
        <v>7</v>
      </c>
      <c r="AF130" s="7">
        <f t="shared" ref="AF130:AF193" si="5">DATE(B130,AE130,1)</f>
        <v>42552</v>
      </c>
    </row>
    <row r="131" spans="1:32" hidden="1" x14ac:dyDescent="0.3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>
        <v>139.19999999999999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  <c r="AE131">
        <f t="shared" si="4"/>
        <v>8</v>
      </c>
      <c r="AF131" s="7">
        <f t="shared" si="5"/>
        <v>42583</v>
      </c>
    </row>
    <row r="132" spans="1:32" hidden="1" x14ac:dyDescent="0.3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  <c r="AE132">
        <f t="shared" si="4"/>
        <v>8</v>
      </c>
      <c r="AF132" s="7">
        <f t="shared" si="5"/>
        <v>42583</v>
      </c>
    </row>
    <row r="133" spans="1:32" hidden="1" x14ac:dyDescent="0.3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  <c r="AE133">
        <f t="shared" si="4"/>
        <v>8</v>
      </c>
      <c r="AF133" s="7">
        <f t="shared" si="5"/>
        <v>42583</v>
      </c>
    </row>
    <row r="134" spans="1:32" hidden="1" x14ac:dyDescent="0.3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>
        <v>139.19999999999999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  <c r="AE134">
        <f t="shared" si="4"/>
        <v>9</v>
      </c>
      <c r="AF134" s="7">
        <f t="shared" si="5"/>
        <v>42614</v>
      </c>
    </row>
    <row r="135" spans="1:32" hidden="1" x14ac:dyDescent="0.3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  <c r="AE135">
        <f t="shared" si="4"/>
        <v>9</v>
      </c>
      <c r="AF135" s="7">
        <f t="shared" si="5"/>
        <v>42614</v>
      </c>
    </row>
    <row r="136" spans="1:32" hidden="1" x14ac:dyDescent="0.3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  <c r="AE136">
        <f t="shared" si="4"/>
        <v>9</v>
      </c>
      <c r="AF136" s="7">
        <f t="shared" si="5"/>
        <v>42614</v>
      </c>
    </row>
    <row r="137" spans="1:32" hidden="1" x14ac:dyDescent="0.3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>
        <v>139.19999999999999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  <c r="AE137">
        <f t="shared" si="4"/>
        <v>10</v>
      </c>
      <c r="AF137" s="7">
        <f t="shared" si="5"/>
        <v>42644</v>
      </c>
    </row>
    <row r="138" spans="1:32" hidden="1" x14ac:dyDescent="0.3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  <c r="AE138">
        <f t="shared" si="4"/>
        <v>10</v>
      </c>
      <c r="AF138" s="7">
        <f t="shared" si="5"/>
        <v>42644</v>
      </c>
    </row>
    <row r="139" spans="1:32" hidden="1" x14ac:dyDescent="0.3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  <c r="AE139">
        <f t="shared" si="4"/>
        <v>10</v>
      </c>
      <c r="AF139" s="7">
        <f t="shared" si="5"/>
        <v>42644</v>
      </c>
    </row>
    <row r="140" spans="1:32" hidden="1" x14ac:dyDescent="0.3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>
        <v>139.19999999999999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  <c r="AE140">
        <f t="shared" si="4"/>
        <v>11</v>
      </c>
      <c r="AF140" s="7">
        <f t="shared" si="5"/>
        <v>42675</v>
      </c>
    </row>
    <row r="141" spans="1:32" hidden="1" x14ac:dyDescent="0.3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  <c r="AE141">
        <f t="shared" si="4"/>
        <v>11</v>
      </c>
      <c r="AF141" s="7">
        <f t="shared" si="5"/>
        <v>42675</v>
      </c>
    </row>
    <row r="142" spans="1:32" hidden="1" x14ac:dyDescent="0.3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  <c r="AE142">
        <f t="shared" si="4"/>
        <v>11</v>
      </c>
      <c r="AF142" s="7">
        <f t="shared" si="5"/>
        <v>42675</v>
      </c>
    </row>
    <row r="143" spans="1:32" hidden="1" x14ac:dyDescent="0.3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>
        <v>139.19999999999999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  <c r="AE143">
        <f t="shared" si="4"/>
        <v>12</v>
      </c>
      <c r="AF143" s="7">
        <f t="shared" si="5"/>
        <v>42705</v>
      </c>
    </row>
    <row r="144" spans="1:32" hidden="1" x14ac:dyDescent="0.3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  <c r="AE144">
        <f t="shared" si="4"/>
        <v>12</v>
      </c>
      <c r="AF144" s="7">
        <f t="shared" si="5"/>
        <v>42705</v>
      </c>
    </row>
    <row r="145" spans="1:32" hidden="1" x14ac:dyDescent="0.3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  <c r="AE145">
        <f t="shared" si="4"/>
        <v>12</v>
      </c>
      <c r="AF145" s="7">
        <f t="shared" si="5"/>
        <v>42705</v>
      </c>
    </row>
    <row r="146" spans="1:32" hidden="1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>
        <v>139.19999999999999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  <c r="AE146">
        <f t="shared" si="4"/>
        <v>1</v>
      </c>
      <c r="AF146" s="7">
        <f t="shared" si="5"/>
        <v>42736</v>
      </c>
    </row>
    <row r="147" spans="1:32" hidden="1" x14ac:dyDescent="0.3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  <c r="AE147">
        <f t="shared" si="4"/>
        <v>1</v>
      </c>
      <c r="AF147" s="7">
        <f t="shared" si="5"/>
        <v>42736</v>
      </c>
    </row>
    <row r="148" spans="1:32" hidden="1" x14ac:dyDescent="0.3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  <c r="AE148">
        <f t="shared" si="4"/>
        <v>1</v>
      </c>
      <c r="AF148" s="7">
        <f t="shared" si="5"/>
        <v>42736</v>
      </c>
    </row>
    <row r="149" spans="1:32" hidden="1" x14ac:dyDescent="0.3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>
        <v>139.19999999999999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  <c r="AE149">
        <f t="shared" si="4"/>
        <v>2</v>
      </c>
      <c r="AF149" s="7">
        <f t="shared" si="5"/>
        <v>42767</v>
      </c>
    </row>
    <row r="150" spans="1:32" hidden="1" x14ac:dyDescent="0.3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  <c r="AE150">
        <f t="shared" si="4"/>
        <v>2</v>
      </c>
      <c r="AF150" s="7">
        <f t="shared" si="5"/>
        <v>42767</v>
      </c>
    </row>
    <row r="151" spans="1:32" hidden="1" x14ac:dyDescent="0.3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  <c r="AE151">
        <f t="shared" si="4"/>
        <v>2</v>
      </c>
      <c r="AF151" s="7">
        <f t="shared" si="5"/>
        <v>42767</v>
      </c>
    </row>
    <row r="152" spans="1:32" hidden="1" x14ac:dyDescent="0.3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>
        <v>139.19999999999999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  <c r="AE152">
        <f t="shared" si="4"/>
        <v>3</v>
      </c>
      <c r="AF152" s="7">
        <f t="shared" si="5"/>
        <v>42795</v>
      </c>
    </row>
    <row r="153" spans="1:32" hidden="1" x14ac:dyDescent="0.3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  <c r="AE153">
        <f t="shared" si="4"/>
        <v>3</v>
      </c>
      <c r="AF153" s="7">
        <f t="shared" si="5"/>
        <v>42795</v>
      </c>
    </row>
    <row r="154" spans="1:32" hidden="1" x14ac:dyDescent="0.3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  <c r="AE154">
        <f t="shared" si="4"/>
        <v>3</v>
      </c>
      <c r="AF154" s="7">
        <f t="shared" si="5"/>
        <v>42795</v>
      </c>
    </row>
    <row r="155" spans="1:32" hidden="1" x14ac:dyDescent="0.3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>
        <v>139.19999999999999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  <c r="AE155">
        <f t="shared" si="4"/>
        <v>4</v>
      </c>
      <c r="AF155" s="7">
        <f t="shared" si="5"/>
        <v>42826</v>
      </c>
    </row>
    <row r="156" spans="1:32" hidden="1" x14ac:dyDescent="0.3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  <c r="AE156">
        <f t="shared" si="4"/>
        <v>4</v>
      </c>
      <c r="AF156" s="7">
        <f t="shared" si="5"/>
        <v>42826</v>
      </c>
    </row>
    <row r="157" spans="1:32" hidden="1" x14ac:dyDescent="0.3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  <c r="AE157">
        <f t="shared" si="4"/>
        <v>4</v>
      </c>
      <c r="AF157" s="7">
        <f t="shared" si="5"/>
        <v>42826</v>
      </c>
    </row>
    <row r="158" spans="1:32" hidden="1" x14ac:dyDescent="0.3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>
        <v>139.19999999999999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  <c r="AE158">
        <f t="shared" si="4"/>
        <v>5</v>
      </c>
      <c r="AF158" s="7">
        <f t="shared" si="5"/>
        <v>42856</v>
      </c>
    </row>
    <row r="159" spans="1:32" hidden="1" x14ac:dyDescent="0.3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  <c r="AE159">
        <f t="shared" si="4"/>
        <v>5</v>
      </c>
      <c r="AF159" s="7">
        <f t="shared" si="5"/>
        <v>42856</v>
      </c>
    </row>
    <row r="160" spans="1:32" hidden="1" x14ac:dyDescent="0.3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  <c r="AE160">
        <f t="shared" si="4"/>
        <v>5</v>
      </c>
      <c r="AF160" s="7">
        <f t="shared" si="5"/>
        <v>42856</v>
      </c>
    </row>
    <row r="161" spans="1:32" hidden="1" x14ac:dyDescent="0.3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>
        <v>139.19999999999999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  <c r="AE161">
        <f t="shared" si="4"/>
        <v>6</v>
      </c>
      <c r="AF161" s="7">
        <f t="shared" si="5"/>
        <v>42887</v>
      </c>
    </row>
    <row r="162" spans="1:32" hidden="1" x14ac:dyDescent="0.3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  <c r="AE162">
        <f t="shared" si="4"/>
        <v>6</v>
      </c>
      <c r="AF162" s="7">
        <f t="shared" si="5"/>
        <v>42887</v>
      </c>
    </row>
    <row r="163" spans="1:32" hidden="1" x14ac:dyDescent="0.3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  <c r="AE163">
        <f t="shared" si="4"/>
        <v>6</v>
      </c>
      <c r="AF163" s="7">
        <f t="shared" si="5"/>
        <v>42887</v>
      </c>
    </row>
    <row r="164" spans="1:32" hidden="1" x14ac:dyDescent="0.3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>
        <v>139.19999999999999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  <c r="AE164">
        <f t="shared" si="4"/>
        <v>7</v>
      </c>
      <c r="AF164" s="7">
        <f t="shared" si="5"/>
        <v>42917</v>
      </c>
    </row>
    <row r="165" spans="1:32" hidden="1" x14ac:dyDescent="0.3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  <c r="AE165">
        <f t="shared" si="4"/>
        <v>7</v>
      </c>
      <c r="AF165" s="7">
        <f t="shared" si="5"/>
        <v>42917</v>
      </c>
    </row>
    <row r="166" spans="1:32" hidden="1" x14ac:dyDescent="0.3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  <c r="AE166">
        <f t="shared" si="4"/>
        <v>7</v>
      </c>
      <c r="AF166" s="7">
        <f t="shared" si="5"/>
        <v>42917</v>
      </c>
    </row>
    <row r="167" spans="1:32" hidden="1" x14ac:dyDescent="0.3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>
        <v>139.19999999999999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  <c r="AE167">
        <f t="shared" si="4"/>
        <v>8</v>
      </c>
      <c r="AF167" s="7">
        <f t="shared" si="5"/>
        <v>42948</v>
      </c>
    </row>
    <row r="168" spans="1:32" hidden="1" x14ac:dyDescent="0.3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  <c r="AE168">
        <f t="shared" si="4"/>
        <v>8</v>
      </c>
      <c r="AF168" s="7">
        <f t="shared" si="5"/>
        <v>42948</v>
      </c>
    </row>
    <row r="169" spans="1:32" hidden="1" x14ac:dyDescent="0.3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  <c r="AE169">
        <f t="shared" si="4"/>
        <v>8</v>
      </c>
      <c r="AF169" s="7">
        <f t="shared" si="5"/>
        <v>42948</v>
      </c>
    </row>
    <row r="170" spans="1:32" hidden="1" x14ac:dyDescent="0.3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>
        <v>139.19999999999999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  <c r="AE170">
        <f t="shared" si="4"/>
        <v>9</v>
      </c>
      <c r="AF170" s="7">
        <f t="shared" si="5"/>
        <v>42979</v>
      </c>
    </row>
    <row r="171" spans="1:32" hidden="1" x14ac:dyDescent="0.3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  <c r="AE171">
        <f t="shared" si="4"/>
        <v>9</v>
      </c>
      <c r="AF171" s="7">
        <f t="shared" si="5"/>
        <v>42979</v>
      </c>
    </row>
    <row r="172" spans="1:32" hidden="1" x14ac:dyDescent="0.3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  <c r="AE172">
        <f t="shared" si="4"/>
        <v>9</v>
      </c>
      <c r="AF172" s="7">
        <f t="shared" si="5"/>
        <v>42979</v>
      </c>
    </row>
    <row r="173" spans="1:32" hidden="1" x14ac:dyDescent="0.3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>
        <v>139.19999999999999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  <c r="AE173">
        <f t="shared" si="4"/>
        <v>10</v>
      </c>
      <c r="AF173" s="7">
        <f t="shared" si="5"/>
        <v>43009</v>
      </c>
    </row>
    <row r="174" spans="1:32" hidden="1" x14ac:dyDescent="0.3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  <c r="AE174">
        <f t="shared" si="4"/>
        <v>10</v>
      </c>
      <c r="AF174" s="7">
        <f t="shared" si="5"/>
        <v>43009</v>
      </c>
    </row>
    <row r="175" spans="1:32" hidden="1" x14ac:dyDescent="0.3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  <c r="AE175">
        <f t="shared" si="4"/>
        <v>10</v>
      </c>
      <c r="AF175" s="7">
        <f t="shared" si="5"/>
        <v>43009</v>
      </c>
    </row>
    <row r="176" spans="1:32" hidden="1" x14ac:dyDescent="0.3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>
        <v>139.19999999999999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  <c r="AE176">
        <f t="shared" si="4"/>
        <v>11</v>
      </c>
      <c r="AF176" s="7">
        <f t="shared" si="5"/>
        <v>43040</v>
      </c>
    </row>
    <row r="177" spans="1:32" hidden="1" x14ac:dyDescent="0.3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  <c r="AE177">
        <f t="shared" si="4"/>
        <v>11</v>
      </c>
      <c r="AF177" s="7">
        <f t="shared" si="5"/>
        <v>43040</v>
      </c>
    </row>
    <row r="178" spans="1:32" hidden="1" x14ac:dyDescent="0.3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  <c r="AE178">
        <f t="shared" si="4"/>
        <v>11</v>
      </c>
      <c r="AF178" s="7">
        <f t="shared" si="5"/>
        <v>43040</v>
      </c>
    </row>
    <row r="179" spans="1:32" hidden="1" x14ac:dyDescent="0.3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>
        <v>139.19999999999999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  <c r="AE179">
        <f t="shared" si="4"/>
        <v>12</v>
      </c>
      <c r="AF179" s="7">
        <f t="shared" si="5"/>
        <v>43070</v>
      </c>
    </row>
    <row r="180" spans="1:32" hidden="1" x14ac:dyDescent="0.3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  <c r="AE180">
        <f t="shared" si="4"/>
        <v>12</v>
      </c>
      <c r="AF180" s="7">
        <f t="shared" si="5"/>
        <v>43070</v>
      </c>
    </row>
    <row r="181" spans="1:32" hidden="1" x14ac:dyDescent="0.3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  <c r="AE181">
        <f t="shared" si="4"/>
        <v>12</v>
      </c>
      <c r="AF181" s="7">
        <f t="shared" si="5"/>
        <v>43070</v>
      </c>
    </row>
    <row r="182" spans="1:32" hidden="1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>
        <v>139.19999999999999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  <c r="AE182">
        <f t="shared" si="4"/>
        <v>1</v>
      </c>
      <c r="AF182" s="7">
        <f t="shared" si="5"/>
        <v>43101</v>
      </c>
    </row>
    <row r="183" spans="1:32" hidden="1" x14ac:dyDescent="0.3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  <c r="AE183">
        <f t="shared" si="4"/>
        <v>1</v>
      </c>
      <c r="AF183" s="7">
        <f t="shared" si="5"/>
        <v>43101</v>
      </c>
    </row>
    <row r="184" spans="1:32" hidden="1" x14ac:dyDescent="0.3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  <c r="AE184">
        <f t="shared" si="4"/>
        <v>1</v>
      </c>
      <c r="AF184" s="7">
        <f t="shared" si="5"/>
        <v>43101</v>
      </c>
    </row>
    <row r="185" spans="1:32" hidden="1" x14ac:dyDescent="0.3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>
        <v>139.19999999999999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  <c r="AE185">
        <f t="shared" si="4"/>
        <v>2</v>
      </c>
      <c r="AF185" s="7">
        <f t="shared" si="5"/>
        <v>43132</v>
      </c>
    </row>
    <row r="186" spans="1:32" hidden="1" x14ac:dyDescent="0.3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  <c r="AE186">
        <f t="shared" si="4"/>
        <v>2</v>
      </c>
      <c r="AF186" s="7">
        <f t="shared" si="5"/>
        <v>43132</v>
      </c>
    </row>
    <row r="187" spans="1:32" hidden="1" x14ac:dyDescent="0.3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  <c r="AE187">
        <f t="shared" si="4"/>
        <v>2</v>
      </c>
      <c r="AF187" s="7">
        <f t="shared" si="5"/>
        <v>43132</v>
      </c>
    </row>
    <row r="188" spans="1:32" hidden="1" x14ac:dyDescent="0.3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>
        <v>139.19999999999999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  <c r="AE188">
        <f t="shared" si="4"/>
        <v>3</v>
      </c>
      <c r="AF188" s="7">
        <f t="shared" si="5"/>
        <v>43160</v>
      </c>
    </row>
    <row r="189" spans="1:32" hidden="1" x14ac:dyDescent="0.3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  <c r="AE189">
        <f t="shared" si="4"/>
        <v>3</v>
      </c>
      <c r="AF189" s="7">
        <f t="shared" si="5"/>
        <v>43160</v>
      </c>
    </row>
    <row r="190" spans="1:32" hidden="1" x14ac:dyDescent="0.3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  <c r="AE190">
        <f t="shared" si="4"/>
        <v>3</v>
      </c>
      <c r="AF190" s="7">
        <f t="shared" si="5"/>
        <v>43160</v>
      </c>
    </row>
    <row r="191" spans="1:32" hidden="1" x14ac:dyDescent="0.3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>
        <v>139.19999999999999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  <c r="AE191">
        <f t="shared" si="4"/>
        <v>4</v>
      </c>
      <c r="AF191" s="7">
        <f t="shared" si="5"/>
        <v>43191</v>
      </c>
    </row>
    <row r="192" spans="1:32" hidden="1" x14ac:dyDescent="0.3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  <c r="AE192">
        <f t="shared" si="4"/>
        <v>4</v>
      </c>
      <c r="AF192" s="7">
        <f t="shared" si="5"/>
        <v>43191</v>
      </c>
    </row>
    <row r="193" spans="1:32" hidden="1" x14ac:dyDescent="0.3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  <c r="AE193">
        <f t="shared" si="4"/>
        <v>4</v>
      </c>
      <c r="AF193" s="7">
        <f t="shared" si="5"/>
        <v>43191</v>
      </c>
    </row>
    <row r="194" spans="1:32" hidden="1" x14ac:dyDescent="0.3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>
        <v>139.19999999999999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  <c r="AE194">
        <f t="shared" ref="AE194:AE257" si="6">IF(C194="January",1,IF(C194="February",2,IF(C194="March",3,IF(C194="April",4,IF(C194="May",5,IF(C194="June",6,IF(C194="July",7,IF(C194="August",8,IF(C194="September",9,IF(C194="October",10,IF(C194="November",11,IF(C194="December",12,""))))))))))))</f>
        <v>5</v>
      </c>
      <c r="AF194" s="7">
        <f t="shared" ref="AF194:AF257" si="7">DATE(B194,AE194,1)</f>
        <v>43221</v>
      </c>
    </row>
    <row r="195" spans="1:32" hidden="1" x14ac:dyDescent="0.3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  <c r="AE195">
        <f t="shared" si="6"/>
        <v>5</v>
      </c>
      <c r="AF195" s="7">
        <f t="shared" si="7"/>
        <v>43221</v>
      </c>
    </row>
    <row r="196" spans="1:32" hidden="1" x14ac:dyDescent="0.3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  <c r="AE196">
        <f t="shared" si="6"/>
        <v>5</v>
      </c>
      <c r="AF196" s="7">
        <f t="shared" si="7"/>
        <v>43221</v>
      </c>
    </row>
    <row r="197" spans="1:32" hidden="1" x14ac:dyDescent="0.3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>
        <v>139.19999999999999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  <c r="AE197">
        <f t="shared" si="6"/>
        <v>6</v>
      </c>
      <c r="AF197" s="7">
        <f t="shared" si="7"/>
        <v>43252</v>
      </c>
    </row>
    <row r="198" spans="1:32" hidden="1" x14ac:dyDescent="0.3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  <c r="AE198">
        <f t="shared" si="6"/>
        <v>6</v>
      </c>
      <c r="AF198" s="7">
        <f t="shared" si="7"/>
        <v>43252</v>
      </c>
    </row>
    <row r="199" spans="1:32" hidden="1" x14ac:dyDescent="0.3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  <c r="AE199">
        <f t="shared" si="6"/>
        <v>6</v>
      </c>
      <c r="AF199" s="7">
        <f t="shared" si="7"/>
        <v>43252</v>
      </c>
    </row>
    <row r="200" spans="1:32" hidden="1" x14ac:dyDescent="0.3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>
        <v>139.19999999999999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  <c r="AE200">
        <f t="shared" si="6"/>
        <v>7</v>
      </c>
      <c r="AF200" s="7">
        <f t="shared" si="7"/>
        <v>43282</v>
      </c>
    </row>
    <row r="201" spans="1:32" hidden="1" x14ac:dyDescent="0.3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  <c r="AE201">
        <f t="shared" si="6"/>
        <v>7</v>
      </c>
      <c r="AF201" s="7">
        <f t="shared" si="7"/>
        <v>43282</v>
      </c>
    </row>
    <row r="202" spans="1:32" hidden="1" x14ac:dyDescent="0.3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  <c r="AE202">
        <f t="shared" si="6"/>
        <v>7</v>
      </c>
      <c r="AF202" s="7">
        <f t="shared" si="7"/>
        <v>43282</v>
      </c>
    </row>
    <row r="203" spans="1:32" hidden="1" x14ac:dyDescent="0.3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>
        <v>139.19999999999999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  <c r="AE203">
        <f t="shared" si="6"/>
        <v>8</v>
      </c>
      <c r="AF203" s="7">
        <f t="shared" si="7"/>
        <v>43313</v>
      </c>
    </row>
    <row r="204" spans="1:32" hidden="1" x14ac:dyDescent="0.3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  <c r="AE204">
        <f t="shared" si="6"/>
        <v>8</v>
      </c>
      <c r="AF204" s="7">
        <f t="shared" si="7"/>
        <v>43313</v>
      </c>
    </row>
    <row r="205" spans="1:32" hidden="1" x14ac:dyDescent="0.3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  <c r="AE205">
        <f t="shared" si="6"/>
        <v>8</v>
      </c>
      <c r="AF205" s="7">
        <f t="shared" si="7"/>
        <v>43313</v>
      </c>
    </row>
    <row r="206" spans="1:32" hidden="1" x14ac:dyDescent="0.3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>
        <v>139.19999999999999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  <c r="AE206">
        <f t="shared" si="6"/>
        <v>9</v>
      </c>
      <c r="AF206" s="7">
        <f t="shared" si="7"/>
        <v>43344</v>
      </c>
    </row>
    <row r="207" spans="1:32" hidden="1" x14ac:dyDescent="0.3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  <c r="AE207">
        <f t="shared" si="6"/>
        <v>9</v>
      </c>
      <c r="AF207" s="7">
        <f t="shared" si="7"/>
        <v>43344</v>
      </c>
    </row>
    <row r="208" spans="1:32" hidden="1" x14ac:dyDescent="0.3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  <c r="AE208">
        <f t="shared" si="6"/>
        <v>9</v>
      </c>
      <c r="AF208" s="7">
        <f t="shared" si="7"/>
        <v>43344</v>
      </c>
    </row>
    <row r="209" spans="1:32" hidden="1" x14ac:dyDescent="0.3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>
        <v>139.19999999999999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  <c r="AE209">
        <f t="shared" si="6"/>
        <v>10</v>
      </c>
      <c r="AF209" s="7">
        <f t="shared" si="7"/>
        <v>43374</v>
      </c>
    </row>
    <row r="210" spans="1:32" hidden="1" x14ac:dyDescent="0.3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  <c r="AE210">
        <f t="shared" si="6"/>
        <v>10</v>
      </c>
      <c r="AF210" s="7">
        <f t="shared" si="7"/>
        <v>43374</v>
      </c>
    </row>
    <row r="211" spans="1:32" hidden="1" x14ac:dyDescent="0.3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  <c r="AE211">
        <f t="shared" si="6"/>
        <v>10</v>
      </c>
      <c r="AF211" s="7">
        <f t="shared" si="7"/>
        <v>43374</v>
      </c>
    </row>
    <row r="212" spans="1:32" hidden="1" x14ac:dyDescent="0.3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>
        <v>139.19999999999999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  <c r="AE212">
        <f t="shared" si="6"/>
        <v>11</v>
      </c>
      <c r="AF212" s="7">
        <f t="shared" si="7"/>
        <v>43405</v>
      </c>
    </row>
    <row r="213" spans="1:32" hidden="1" x14ac:dyDescent="0.3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  <c r="AE213">
        <f t="shared" si="6"/>
        <v>11</v>
      </c>
      <c r="AF213" s="7">
        <f t="shared" si="7"/>
        <v>43405</v>
      </c>
    </row>
    <row r="214" spans="1:32" hidden="1" x14ac:dyDescent="0.3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  <c r="AE214">
        <f t="shared" si="6"/>
        <v>11</v>
      </c>
      <c r="AF214" s="7">
        <f t="shared" si="7"/>
        <v>43405</v>
      </c>
    </row>
    <row r="215" spans="1:32" hidden="1" x14ac:dyDescent="0.3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>
        <v>139.19999999999999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  <c r="AE215">
        <f t="shared" si="6"/>
        <v>12</v>
      </c>
      <c r="AF215" s="7">
        <f t="shared" si="7"/>
        <v>43435</v>
      </c>
    </row>
    <row r="216" spans="1:32" hidden="1" x14ac:dyDescent="0.3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  <c r="AE216">
        <f t="shared" si="6"/>
        <v>12</v>
      </c>
      <c r="AF216" s="7">
        <f t="shared" si="7"/>
        <v>43435</v>
      </c>
    </row>
    <row r="217" spans="1:32" hidden="1" x14ac:dyDescent="0.3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  <c r="AE217">
        <f t="shared" si="6"/>
        <v>12</v>
      </c>
      <c r="AF217" s="7">
        <f t="shared" si="7"/>
        <v>43435</v>
      </c>
    </row>
    <row r="218" spans="1:32" hidden="1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>
        <v>139.19999999999999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  <c r="AE218">
        <f t="shared" si="6"/>
        <v>1</v>
      </c>
      <c r="AF218" s="7">
        <f t="shared" si="7"/>
        <v>43466</v>
      </c>
    </row>
    <row r="219" spans="1:32" hidden="1" x14ac:dyDescent="0.3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  <c r="AE219">
        <f t="shared" si="6"/>
        <v>1</v>
      </c>
      <c r="AF219" s="7">
        <f t="shared" si="7"/>
        <v>43466</v>
      </c>
    </row>
    <row r="220" spans="1:32" hidden="1" x14ac:dyDescent="0.3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  <c r="AE220">
        <f t="shared" si="6"/>
        <v>1</v>
      </c>
      <c r="AF220" s="7">
        <f t="shared" si="7"/>
        <v>43466</v>
      </c>
    </row>
    <row r="221" spans="1:32" hidden="1" x14ac:dyDescent="0.3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>
        <v>139.19999999999999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  <c r="AE221">
        <f t="shared" si="6"/>
        <v>2</v>
      </c>
      <c r="AF221" s="7">
        <f t="shared" si="7"/>
        <v>43497</v>
      </c>
    </row>
    <row r="222" spans="1:32" hidden="1" x14ac:dyDescent="0.3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  <c r="AE222">
        <f t="shared" si="6"/>
        <v>2</v>
      </c>
      <c r="AF222" s="7">
        <f t="shared" si="7"/>
        <v>43497</v>
      </c>
    </row>
    <row r="223" spans="1:32" hidden="1" x14ac:dyDescent="0.3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  <c r="AE223">
        <f t="shared" si="6"/>
        <v>2</v>
      </c>
      <c r="AF223" s="7">
        <f t="shared" si="7"/>
        <v>43497</v>
      </c>
    </row>
    <row r="224" spans="1:32" hidden="1" x14ac:dyDescent="0.3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>
        <v>139.19999999999999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  <c r="AE224">
        <f t="shared" si="6"/>
        <v>3</v>
      </c>
      <c r="AF224" s="7">
        <f t="shared" si="7"/>
        <v>43525</v>
      </c>
    </row>
    <row r="225" spans="1:32" hidden="1" x14ac:dyDescent="0.3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  <c r="AE225">
        <f t="shared" si="6"/>
        <v>3</v>
      </c>
      <c r="AF225" s="7">
        <f t="shared" si="7"/>
        <v>43525</v>
      </c>
    </row>
    <row r="226" spans="1:32" hidden="1" x14ac:dyDescent="0.3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  <c r="AE226">
        <f t="shared" si="6"/>
        <v>3</v>
      </c>
      <c r="AF226" s="7">
        <f t="shared" si="7"/>
        <v>43525</v>
      </c>
    </row>
    <row r="227" spans="1:32" hidden="1" x14ac:dyDescent="0.3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>
        <v>139.19999999999999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  <c r="AE227">
        <f t="shared" si="6"/>
        <v>5</v>
      </c>
      <c r="AF227" s="7">
        <f t="shared" si="7"/>
        <v>43586</v>
      </c>
    </row>
    <row r="228" spans="1:32" hidden="1" x14ac:dyDescent="0.3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  <c r="AE228">
        <f t="shared" si="6"/>
        <v>5</v>
      </c>
      <c r="AF228" s="7">
        <f t="shared" si="7"/>
        <v>43586</v>
      </c>
    </row>
    <row r="229" spans="1:32" hidden="1" x14ac:dyDescent="0.3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  <c r="AE229">
        <f t="shared" si="6"/>
        <v>5</v>
      </c>
      <c r="AF229" s="7">
        <f t="shared" si="7"/>
        <v>43586</v>
      </c>
    </row>
    <row r="230" spans="1:32" hidden="1" x14ac:dyDescent="0.3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>
        <v>139.19999999999999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  <c r="AE230">
        <f t="shared" si="6"/>
        <v>6</v>
      </c>
      <c r="AF230" s="7">
        <f t="shared" si="7"/>
        <v>43617</v>
      </c>
    </row>
    <row r="231" spans="1:32" hidden="1" x14ac:dyDescent="0.3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  <c r="AE231">
        <f t="shared" si="6"/>
        <v>6</v>
      </c>
      <c r="AF231" s="7">
        <f t="shared" si="7"/>
        <v>43617</v>
      </c>
    </row>
    <row r="232" spans="1:32" hidden="1" x14ac:dyDescent="0.3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  <c r="AE232">
        <f t="shared" si="6"/>
        <v>6</v>
      </c>
      <c r="AF232" s="7">
        <f t="shared" si="7"/>
        <v>43617</v>
      </c>
    </row>
    <row r="233" spans="1:32" hidden="1" x14ac:dyDescent="0.3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>
        <v>139.19999999999999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  <c r="AE233">
        <f t="shared" si="6"/>
        <v>7</v>
      </c>
      <c r="AF233" s="7">
        <f t="shared" si="7"/>
        <v>43647</v>
      </c>
    </row>
    <row r="234" spans="1:32" hidden="1" x14ac:dyDescent="0.3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  <c r="AE234">
        <f t="shared" si="6"/>
        <v>7</v>
      </c>
      <c r="AF234" s="7">
        <f t="shared" si="7"/>
        <v>43647</v>
      </c>
    </row>
    <row r="235" spans="1:32" hidden="1" x14ac:dyDescent="0.3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  <c r="AE235">
        <f t="shared" si="6"/>
        <v>7</v>
      </c>
      <c r="AF235" s="7">
        <f t="shared" si="7"/>
        <v>43647</v>
      </c>
    </row>
    <row r="236" spans="1:32" hidden="1" x14ac:dyDescent="0.3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>
        <v>139.19999999999999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  <c r="AE236">
        <f t="shared" si="6"/>
        <v>8</v>
      </c>
      <c r="AF236" s="7">
        <f t="shared" si="7"/>
        <v>43678</v>
      </c>
    </row>
    <row r="237" spans="1:32" hidden="1" x14ac:dyDescent="0.3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  <c r="AE237">
        <f t="shared" si="6"/>
        <v>8</v>
      </c>
      <c r="AF237" s="7">
        <f t="shared" si="7"/>
        <v>43678</v>
      </c>
    </row>
    <row r="238" spans="1:32" hidden="1" x14ac:dyDescent="0.3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  <c r="AE238">
        <f t="shared" si="6"/>
        <v>8</v>
      </c>
      <c r="AF238" s="7">
        <f t="shared" si="7"/>
        <v>43678</v>
      </c>
    </row>
    <row r="239" spans="1:32" hidden="1" x14ac:dyDescent="0.3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>
        <v>139.19999999999999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  <c r="AE239">
        <f t="shared" si="6"/>
        <v>9</v>
      </c>
      <c r="AF239" s="7">
        <f t="shared" si="7"/>
        <v>43709</v>
      </c>
    </row>
    <row r="240" spans="1:32" hidden="1" x14ac:dyDescent="0.3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  <c r="AE240">
        <f t="shared" si="6"/>
        <v>9</v>
      </c>
      <c r="AF240" s="7">
        <f t="shared" si="7"/>
        <v>43709</v>
      </c>
    </row>
    <row r="241" spans="1:32" hidden="1" x14ac:dyDescent="0.3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  <c r="AE241">
        <f t="shared" si="6"/>
        <v>9</v>
      </c>
      <c r="AF241" s="7">
        <f t="shared" si="7"/>
        <v>43709</v>
      </c>
    </row>
    <row r="242" spans="1:32" hidden="1" x14ac:dyDescent="0.3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>
        <v>139.19999999999999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  <c r="AE242">
        <f t="shared" si="6"/>
        <v>10</v>
      </c>
      <c r="AF242" s="7">
        <f t="shared" si="7"/>
        <v>43739</v>
      </c>
    </row>
    <row r="243" spans="1:32" hidden="1" x14ac:dyDescent="0.3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  <c r="AE243">
        <f t="shared" si="6"/>
        <v>10</v>
      </c>
      <c r="AF243" s="7">
        <f t="shared" si="7"/>
        <v>43739</v>
      </c>
    </row>
    <row r="244" spans="1:32" hidden="1" x14ac:dyDescent="0.3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  <c r="AE244">
        <f t="shared" si="6"/>
        <v>10</v>
      </c>
      <c r="AF244" s="7">
        <f t="shared" si="7"/>
        <v>43739</v>
      </c>
    </row>
    <row r="245" spans="1:32" hidden="1" x14ac:dyDescent="0.35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>
        <v>139.19999999999999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  <c r="AE245">
        <f t="shared" si="6"/>
        <v>11</v>
      </c>
      <c r="AF245" s="7">
        <f t="shared" si="7"/>
        <v>43770</v>
      </c>
    </row>
    <row r="246" spans="1:32" hidden="1" x14ac:dyDescent="0.35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  <c r="AE246">
        <f t="shared" si="6"/>
        <v>11</v>
      </c>
      <c r="AF246" s="7">
        <f t="shared" si="7"/>
        <v>43770</v>
      </c>
    </row>
    <row r="247" spans="1:32" hidden="1" x14ac:dyDescent="0.35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  <c r="AE247">
        <f t="shared" si="6"/>
        <v>11</v>
      </c>
      <c r="AF247" s="7">
        <f t="shared" si="7"/>
        <v>43770</v>
      </c>
    </row>
    <row r="248" spans="1:32" hidden="1" x14ac:dyDescent="0.35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>
        <v>139.19999999999999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  <c r="AE248">
        <f t="shared" si="6"/>
        <v>12</v>
      </c>
      <c r="AF248" s="7">
        <f t="shared" si="7"/>
        <v>43800</v>
      </c>
    </row>
    <row r="249" spans="1:32" hidden="1" x14ac:dyDescent="0.35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  <c r="AE249">
        <f t="shared" si="6"/>
        <v>12</v>
      </c>
      <c r="AF249" s="7">
        <f t="shared" si="7"/>
        <v>43800</v>
      </c>
    </row>
    <row r="250" spans="1:32" hidden="1" x14ac:dyDescent="0.35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  <c r="AE250">
        <f t="shared" si="6"/>
        <v>12</v>
      </c>
      <c r="AF250" s="7">
        <f t="shared" si="7"/>
        <v>43800</v>
      </c>
    </row>
    <row r="251" spans="1:32" hidden="1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>
        <v>139.19999999999999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  <c r="AE251">
        <f t="shared" si="6"/>
        <v>1</v>
      </c>
      <c r="AF251" s="7">
        <f t="shared" si="7"/>
        <v>43831</v>
      </c>
    </row>
    <row r="252" spans="1:32" hidden="1" x14ac:dyDescent="0.3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  <c r="AE252">
        <f t="shared" si="6"/>
        <v>1</v>
      </c>
      <c r="AF252" s="7">
        <f t="shared" si="7"/>
        <v>43831</v>
      </c>
    </row>
    <row r="253" spans="1:32" hidden="1" x14ac:dyDescent="0.3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  <c r="AE253">
        <f t="shared" si="6"/>
        <v>1</v>
      </c>
      <c r="AF253" s="7">
        <f t="shared" si="7"/>
        <v>43831</v>
      </c>
    </row>
    <row r="254" spans="1:32" hidden="1" x14ac:dyDescent="0.3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>
        <v>139.19999999999999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  <c r="AE254">
        <f t="shared" si="6"/>
        <v>2</v>
      </c>
      <c r="AF254" s="7">
        <f t="shared" si="7"/>
        <v>43862</v>
      </c>
    </row>
    <row r="255" spans="1:32" hidden="1" x14ac:dyDescent="0.3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  <c r="AE255">
        <f t="shared" si="6"/>
        <v>2</v>
      </c>
      <c r="AF255" s="7">
        <f t="shared" si="7"/>
        <v>43862</v>
      </c>
    </row>
    <row r="256" spans="1:32" hidden="1" x14ac:dyDescent="0.3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  <c r="AE256">
        <f t="shared" si="6"/>
        <v>2</v>
      </c>
      <c r="AF256" s="7">
        <f t="shared" si="7"/>
        <v>43862</v>
      </c>
    </row>
    <row r="257" spans="1:32" hidden="1" x14ac:dyDescent="0.3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>
        <v>139.19999999999999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  <c r="AE257">
        <f t="shared" si="6"/>
        <v>3</v>
      </c>
      <c r="AF257" s="7">
        <f t="shared" si="7"/>
        <v>43891</v>
      </c>
    </row>
    <row r="258" spans="1:32" hidden="1" x14ac:dyDescent="0.3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  <c r="AE258">
        <f t="shared" ref="AE258:AE321" si="8">IF(C258="January",1,IF(C258="February",2,IF(C258="March",3,IF(C258="April",4,IF(C258="May",5,IF(C258="June",6,IF(C258="July",7,IF(C258="August",8,IF(C258="September",9,IF(C258="October",10,IF(C258="November",11,IF(C258="December",12,""))))))))))))</f>
        <v>3</v>
      </c>
      <c r="AF258" s="7">
        <f t="shared" ref="AF258:AF321" si="9">DATE(B258,AE258,1)</f>
        <v>43891</v>
      </c>
    </row>
    <row r="259" spans="1:32" hidden="1" x14ac:dyDescent="0.3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  <c r="AE259">
        <f t="shared" si="8"/>
        <v>3</v>
      </c>
      <c r="AF259" s="7">
        <f t="shared" si="9"/>
        <v>43891</v>
      </c>
    </row>
    <row r="260" spans="1:32" hidden="1" x14ac:dyDescent="0.35">
      <c r="A260" t="s">
        <v>30</v>
      </c>
      <c r="B260">
        <v>2020</v>
      </c>
      <c r="C260" t="s">
        <v>37</v>
      </c>
      <c r="D260">
        <v>147.19999999999999</v>
      </c>
      <c r="E260">
        <v>190.3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160.9</v>
      </c>
      <c r="P260">
        <v>150.1</v>
      </c>
      <c r="Q260">
        <v>176.45</v>
      </c>
      <c r="R260">
        <v>154.05000000000001</v>
      </c>
      <c r="S260">
        <v>148.80000000000001</v>
      </c>
      <c r="T260">
        <v>153.30000000000001</v>
      </c>
      <c r="U260">
        <v>139.19999999999999</v>
      </c>
      <c r="V260">
        <v>148.4</v>
      </c>
      <c r="W260">
        <v>151.6</v>
      </c>
      <c r="X260">
        <v>157.44999999999999</v>
      </c>
      <c r="Y260">
        <v>138.6</v>
      </c>
      <c r="Z260">
        <v>152.19999999999999</v>
      </c>
      <c r="AA260">
        <v>161.5</v>
      </c>
      <c r="AB260">
        <v>148.15</v>
      </c>
      <c r="AC260">
        <v>150.15</v>
      </c>
      <c r="AD260">
        <v>151.25</v>
      </c>
      <c r="AE260">
        <f t="shared" si="8"/>
        <v>4</v>
      </c>
      <c r="AF260" s="7">
        <f t="shared" si="9"/>
        <v>43922</v>
      </c>
    </row>
    <row r="261" spans="1:32" hidden="1" x14ac:dyDescent="0.35">
      <c r="A261" t="s">
        <v>33</v>
      </c>
      <c r="B261">
        <v>2020</v>
      </c>
      <c r="C261" t="s">
        <v>37</v>
      </c>
      <c r="D261">
        <v>151.80000000000001</v>
      </c>
      <c r="E261">
        <v>182.25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160.4</v>
      </c>
      <c r="P261">
        <v>153.5</v>
      </c>
      <c r="Q261">
        <v>180</v>
      </c>
      <c r="R261">
        <v>148.4</v>
      </c>
      <c r="S261">
        <v>135.19999999999999</v>
      </c>
      <c r="T261">
        <v>146.4</v>
      </c>
      <c r="U261">
        <v>155.6</v>
      </c>
      <c r="V261">
        <v>137.1</v>
      </c>
      <c r="W261">
        <v>140.6</v>
      </c>
      <c r="X261">
        <v>144.80000000000001</v>
      </c>
      <c r="Y261">
        <v>126.95</v>
      </c>
      <c r="Z261">
        <v>141.19999999999999</v>
      </c>
      <c r="AA261">
        <v>152.5</v>
      </c>
      <c r="AB261">
        <v>148.75</v>
      </c>
      <c r="AC261">
        <v>140.35</v>
      </c>
      <c r="AD261">
        <v>149.05000000000001</v>
      </c>
      <c r="AE261">
        <f t="shared" si="8"/>
        <v>4</v>
      </c>
      <c r="AF261" s="7">
        <f t="shared" si="9"/>
        <v>43922</v>
      </c>
    </row>
    <row r="262" spans="1:32" hidden="1" x14ac:dyDescent="0.35">
      <c r="A262" t="s">
        <v>34</v>
      </c>
      <c r="B262">
        <v>2020</v>
      </c>
      <c r="C262" t="s">
        <v>37</v>
      </c>
      <c r="D262">
        <v>148.69999999999999</v>
      </c>
      <c r="E262">
        <v>179.85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160.69999999999999</v>
      </c>
      <c r="P262">
        <v>151.4</v>
      </c>
      <c r="Q262">
        <v>177.35</v>
      </c>
      <c r="R262">
        <v>151.85</v>
      </c>
      <c r="S262">
        <v>143.15</v>
      </c>
      <c r="T262">
        <v>150.6</v>
      </c>
      <c r="U262">
        <v>155.6</v>
      </c>
      <c r="V262">
        <v>144.1</v>
      </c>
      <c r="W262">
        <v>146.4</v>
      </c>
      <c r="X262">
        <v>150.69999999999999</v>
      </c>
      <c r="Y262">
        <v>132.44999999999999</v>
      </c>
      <c r="Z262">
        <v>146</v>
      </c>
      <c r="AA262">
        <v>156.25</v>
      </c>
      <c r="AB262">
        <v>148.4</v>
      </c>
      <c r="AC262">
        <v>145.4</v>
      </c>
      <c r="AD262">
        <v>150.19999999999999</v>
      </c>
      <c r="AE262">
        <f t="shared" si="8"/>
        <v>4</v>
      </c>
      <c r="AF262" s="7">
        <f t="shared" si="9"/>
        <v>43922</v>
      </c>
    </row>
    <row r="263" spans="1:32" hidden="1" x14ac:dyDescent="0.35">
      <c r="A263" t="s">
        <v>30</v>
      </c>
      <c r="B263">
        <v>2020</v>
      </c>
      <c r="C263" t="s">
        <v>38</v>
      </c>
      <c r="D263">
        <v>147.69999999999999</v>
      </c>
      <c r="E263">
        <v>190.3</v>
      </c>
      <c r="F263">
        <v>148.15</v>
      </c>
      <c r="G263">
        <v>154.44999999999999</v>
      </c>
      <c r="H263">
        <v>136.65</v>
      </c>
      <c r="I263">
        <v>146.55000000000001</v>
      </c>
      <c r="J263">
        <v>155.80000000000001</v>
      </c>
      <c r="K263">
        <v>150.25</v>
      </c>
      <c r="L263">
        <v>116.5</v>
      </c>
      <c r="M263">
        <v>156.35</v>
      </c>
      <c r="N263">
        <v>140.65</v>
      </c>
      <c r="O263">
        <v>161.35</v>
      </c>
      <c r="P263">
        <v>151.19999999999999</v>
      </c>
      <c r="Q263">
        <v>179.43</v>
      </c>
      <c r="R263">
        <v>154.38</v>
      </c>
      <c r="S263">
        <v>149.4</v>
      </c>
      <c r="T263">
        <v>153.69999999999999</v>
      </c>
      <c r="U263">
        <v>139.19999999999999</v>
      </c>
      <c r="V263">
        <v>146.65</v>
      </c>
      <c r="W263">
        <v>151.65</v>
      </c>
      <c r="X263">
        <v>157.83000000000001</v>
      </c>
      <c r="Y263">
        <v>140</v>
      </c>
      <c r="Z263">
        <v>152.69999999999999</v>
      </c>
      <c r="AA263">
        <v>161.65</v>
      </c>
      <c r="AB263">
        <v>149.68</v>
      </c>
      <c r="AC263">
        <v>150.93</v>
      </c>
      <c r="AD263">
        <v>151.97999999999999</v>
      </c>
      <c r="AE263">
        <f t="shared" si="8"/>
        <v>5</v>
      </c>
      <c r="AF263" s="7">
        <f t="shared" si="9"/>
        <v>43952</v>
      </c>
    </row>
    <row r="264" spans="1:32" hidden="1" x14ac:dyDescent="0.35">
      <c r="A264" t="s">
        <v>33</v>
      </c>
      <c r="B264">
        <v>2020</v>
      </c>
      <c r="C264" t="s">
        <v>38</v>
      </c>
      <c r="D264">
        <v>152.25</v>
      </c>
      <c r="E264">
        <v>189.63</v>
      </c>
      <c r="F264">
        <v>153.25</v>
      </c>
      <c r="G264">
        <v>152.25</v>
      </c>
      <c r="H264">
        <v>134.78</v>
      </c>
      <c r="I264">
        <v>149.18</v>
      </c>
      <c r="J264">
        <v>175.6</v>
      </c>
      <c r="K264">
        <v>151.4</v>
      </c>
      <c r="L264">
        <v>118.75</v>
      </c>
      <c r="M264">
        <v>159.25</v>
      </c>
      <c r="N264">
        <v>134.55000000000001</v>
      </c>
      <c r="O264">
        <v>161.05000000000001</v>
      </c>
      <c r="P264">
        <v>155.25</v>
      </c>
      <c r="Q264">
        <v>183.35</v>
      </c>
      <c r="R264">
        <v>148.75</v>
      </c>
      <c r="S264">
        <v>135.9</v>
      </c>
      <c r="T264">
        <v>146.80000000000001</v>
      </c>
      <c r="U264">
        <v>139.19999999999999</v>
      </c>
      <c r="V264">
        <v>137.1</v>
      </c>
      <c r="W264">
        <v>140.5</v>
      </c>
      <c r="X264">
        <v>146.44999999999999</v>
      </c>
      <c r="Y264">
        <v>128.13</v>
      </c>
      <c r="Z264">
        <v>142.85</v>
      </c>
      <c r="AA264">
        <v>152.5</v>
      </c>
      <c r="AB264">
        <v>150.47999999999999</v>
      </c>
      <c r="AC264">
        <v>141.18</v>
      </c>
      <c r="AD264">
        <v>149.93</v>
      </c>
      <c r="AE264">
        <f t="shared" si="8"/>
        <v>5</v>
      </c>
      <c r="AF264" s="7">
        <f t="shared" si="9"/>
        <v>43952</v>
      </c>
    </row>
    <row r="265" spans="1:32" hidden="1" x14ac:dyDescent="0.35">
      <c r="A265" t="s">
        <v>34</v>
      </c>
      <c r="B265">
        <v>2020</v>
      </c>
      <c r="C265" t="s">
        <v>38</v>
      </c>
      <c r="D265">
        <v>149.15</v>
      </c>
      <c r="E265">
        <v>186.28</v>
      </c>
      <c r="F265">
        <v>150.1</v>
      </c>
      <c r="G265">
        <v>154.44999999999999</v>
      </c>
      <c r="H265">
        <v>135.54</v>
      </c>
      <c r="I265">
        <v>148.19</v>
      </c>
      <c r="J265">
        <v>162.55000000000001</v>
      </c>
      <c r="K265">
        <v>150.65</v>
      </c>
      <c r="L265">
        <v>117.25</v>
      </c>
      <c r="M265">
        <v>156.4</v>
      </c>
      <c r="N265">
        <v>138.1</v>
      </c>
      <c r="O265">
        <v>161.25</v>
      </c>
      <c r="P265">
        <v>152.69999999999999</v>
      </c>
      <c r="Q265">
        <v>180.43</v>
      </c>
      <c r="R265">
        <v>152.18</v>
      </c>
      <c r="S265">
        <v>143.78</v>
      </c>
      <c r="T265">
        <v>151</v>
      </c>
      <c r="U265">
        <v>139.19999999999999</v>
      </c>
      <c r="V265">
        <v>143</v>
      </c>
      <c r="W265">
        <v>146.4</v>
      </c>
      <c r="X265">
        <v>152.55000000000001</v>
      </c>
      <c r="Y265">
        <v>133.72999999999999</v>
      </c>
      <c r="Z265">
        <v>147.15</v>
      </c>
      <c r="AA265">
        <v>156.33000000000001</v>
      </c>
      <c r="AB265">
        <v>150</v>
      </c>
      <c r="AC265">
        <v>146.19999999999999</v>
      </c>
      <c r="AD265">
        <v>151</v>
      </c>
      <c r="AE265">
        <f t="shared" si="8"/>
        <v>5</v>
      </c>
      <c r="AF265" s="7">
        <f t="shared" si="9"/>
        <v>43952</v>
      </c>
    </row>
    <row r="266" spans="1:32" hidden="1" x14ac:dyDescent="0.35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>
        <v>139.19999999999999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  <c r="AE266">
        <f t="shared" si="8"/>
        <v>6</v>
      </c>
      <c r="AF266" s="7">
        <f t="shared" si="9"/>
        <v>43983</v>
      </c>
    </row>
    <row r="267" spans="1:32" hidden="1" x14ac:dyDescent="0.35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  <c r="AE267">
        <f t="shared" si="8"/>
        <v>6</v>
      </c>
      <c r="AF267" s="7">
        <f t="shared" si="9"/>
        <v>43983</v>
      </c>
    </row>
    <row r="268" spans="1:32" hidden="1" x14ac:dyDescent="0.35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  <c r="AE268">
        <f t="shared" si="8"/>
        <v>6</v>
      </c>
      <c r="AF268" s="7">
        <f t="shared" si="9"/>
        <v>43983</v>
      </c>
    </row>
    <row r="269" spans="1:32" hidden="1" x14ac:dyDescent="0.35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>
        <v>139.19999999999999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  <c r="AE269">
        <f t="shared" si="8"/>
        <v>7</v>
      </c>
      <c r="AF269" s="7">
        <f t="shared" si="9"/>
        <v>44013</v>
      </c>
    </row>
    <row r="270" spans="1:32" hidden="1" x14ac:dyDescent="0.35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  <c r="AE270">
        <f t="shared" si="8"/>
        <v>7</v>
      </c>
      <c r="AF270" s="7">
        <f t="shared" si="9"/>
        <v>44013</v>
      </c>
    </row>
    <row r="271" spans="1:32" hidden="1" x14ac:dyDescent="0.35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  <c r="AE271">
        <f t="shared" si="8"/>
        <v>7</v>
      </c>
      <c r="AF271" s="7">
        <f t="shared" si="9"/>
        <v>44013</v>
      </c>
    </row>
    <row r="272" spans="1:32" hidden="1" x14ac:dyDescent="0.35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>
        <v>139.19999999999999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  <c r="AE272">
        <f t="shared" si="8"/>
        <v>8</v>
      </c>
      <c r="AF272" s="7">
        <f t="shared" si="9"/>
        <v>44044</v>
      </c>
    </row>
    <row r="273" spans="1:32" hidden="1" x14ac:dyDescent="0.35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  <c r="AE273">
        <f t="shared" si="8"/>
        <v>8</v>
      </c>
      <c r="AF273" s="7">
        <f t="shared" si="9"/>
        <v>44044</v>
      </c>
    </row>
    <row r="274" spans="1:32" hidden="1" x14ac:dyDescent="0.35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  <c r="AE274">
        <f t="shared" si="8"/>
        <v>8</v>
      </c>
      <c r="AF274" s="7">
        <f t="shared" si="9"/>
        <v>44044</v>
      </c>
    </row>
    <row r="275" spans="1:32" hidden="1" x14ac:dyDescent="0.35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>
        <v>139.19999999999999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  <c r="AE275">
        <f t="shared" si="8"/>
        <v>9</v>
      </c>
      <c r="AF275" s="7">
        <f t="shared" si="9"/>
        <v>44075</v>
      </c>
    </row>
    <row r="276" spans="1:32" hidden="1" x14ac:dyDescent="0.35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  <c r="AE276">
        <f t="shared" si="8"/>
        <v>9</v>
      </c>
      <c r="AF276" s="7">
        <f t="shared" si="9"/>
        <v>44075</v>
      </c>
    </row>
    <row r="277" spans="1:32" hidden="1" x14ac:dyDescent="0.35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  <c r="AE277">
        <f t="shared" si="8"/>
        <v>9</v>
      </c>
      <c r="AF277" s="7">
        <f t="shared" si="9"/>
        <v>44075</v>
      </c>
    </row>
    <row r="278" spans="1:32" hidden="1" x14ac:dyDescent="0.35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>
        <v>139.19999999999999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  <c r="AE278">
        <f t="shared" si="8"/>
        <v>10</v>
      </c>
      <c r="AF278" s="7">
        <f t="shared" si="9"/>
        <v>44105</v>
      </c>
    </row>
    <row r="279" spans="1:32" hidden="1" x14ac:dyDescent="0.35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  <c r="AE279">
        <f t="shared" si="8"/>
        <v>10</v>
      </c>
      <c r="AF279" s="7">
        <f t="shared" si="9"/>
        <v>44105</v>
      </c>
    </row>
    <row r="280" spans="1:32" hidden="1" x14ac:dyDescent="0.35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  <c r="AE280">
        <f t="shared" si="8"/>
        <v>10</v>
      </c>
      <c r="AF280" s="7">
        <f t="shared" si="9"/>
        <v>44105</v>
      </c>
    </row>
    <row r="281" spans="1:32" hidden="1" x14ac:dyDescent="0.35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>
        <v>139.19999999999999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  <c r="AE281">
        <f t="shared" si="8"/>
        <v>11</v>
      </c>
      <c r="AF281" s="7">
        <f t="shared" si="9"/>
        <v>44136</v>
      </c>
    </row>
    <row r="282" spans="1:32" hidden="1" x14ac:dyDescent="0.35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  <c r="AE282">
        <f t="shared" si="8"/>
        <v>11</v>
      </c>
      <c r="AF282" s="7">
        <f t="shared" si="9"/>
        <v>44136</v>
      </c>
    </row>
    <row r="283" spans="1:32" hidden="1" x14ac:dyDescent="0.35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  <c r="AE283">
        <f t="shared" si="8"/>
        <v>11</v>
      </c>
      <c r="AF283" s="7">
        <f t="shared" si="9"/>
        <v>44136</v>
      </c>
    </row>
    <row r="284" spans="1:32" hidden="1" x14ac:dyDescent="0.35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>
        <v>139.19999999999999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  <c r="AE284">
        <f t="shared" si="8"/>
        <v>12</v>
      </c>
      <c r="AF284" s="7">
        <f t="shared" si="9"/>
        <v>44166</v>
      </c>
    </row>
    <row r="285" spans="1:32" hidden="1" x14ac:dyDescent="0.35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  <c r="AE285">
        <f t="shared" si="8"/>
        <v>12</v>
      </c>
      <c r="AF285" s="7">
        <f t="shared" si="9"/>
        <v>44166</v>
      </c>
    </row>
    <row r="286" spans="1:32" hidden="1" x14ac:dyDescent="0.35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  <c r="AE286">
        <f t="shared" si="8"/>
        <v>12</v>
      </c>
      <c r="AF286" s="7">
        <f t="shared" si="9"/>
        <v>44166</v>
      </c>
    </row>
    <row r="287" spans="1:32" hidden="1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>
        <v>139.19999999999999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  <c r="AE287">
        <f t="shared" si="8"/>
        <v>1</v>
      </c>
      <c r="AF287" s="7">
        <f t="shared" si="9"/>
        <v>44197</v>
      </c>
    </row>
    <row r="288" spans="1:32" hidden="1" x14ac:dyDescent="0.3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  <c r="AE288">
        <f t="shared" si="8"/>
        <v>1</v>
      </c>
      <c r="AF288" s="7">
        <f t="shared" si="9"/>
        <v>44197</v>
      </c>
    </row>
    <row r="289" spans="1:32" x14ac:dyDescent="0.3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  <c r="AE289">
        <f t="shared" si="8"/>
        <v>1</v>
      </c>
      <c r="AF289" s="7">
        <f t="shared" si="9"/>
        <v>44197</v>
      </c>
    </row>
    <row r="290" spans="1:32" hidden="1" x14ac:dyDescent="0.3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>
        <v>139.19999999999999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  <c r="AE290">
        <f t="shared" si="8"/>
        <v>2</v>
      </c>
      <c r="AF290" s="7">
        <f t="shared" si="9"/>
        <v>44228</v>
      </c>
    </row>
    <row r="291" spans="1:32" hidden="1" x14ac:dyDescent="0.35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  <c r="AE291">
        <f t="shared" si="8"/>
        <v>2</v>
      </c>
      <c r="AF291" s="7">
        <f t="shared" si="9"/>
        <v>44228</v>
      </c>
    </row>
    <row r="292" spans="1:32" x14ac:dyDescent="0.3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  <c r="AE292">
        <f t="shared" si="8"/>
        <v>2</v>
      </c>
      <c r="AF292" s="7">
        <f t="shared" si="9"/>
        <v>44228</v>
      </c>
    </row>
    <row r="293" spans="1:32" hidden="1" x14ac:dyDescent="0.35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>
        <v>139.19999999999999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  <c r="AE293">
        <f t="shared" si="8"/>
        <v>3</v>
      </c>
      <c r="AF293" s="7">
        <f t="shared" si="9"/>
        <v>44256</v>
      </c>
    </row>
    <row r="294" spans="1:32" hidden="1" x14ac:dyDescent="0.35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  <c r="AE294">
        <f t="shared" si="8"/>
        <v>3</v>
      </c>
      <c r="AF294" s="7">
        <f t="shared" si="9"/>
        <v>44256</v>
      </c>
    </row>
    <row r="295" spans="1:32" x14ac:dyDescent="0.35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  <c r="AE295">
        <f t="shared" si="8"/>
        <v>3</v>
      </c>
      <c r="AF295" s="7">
        <f t="shared" si="9"/>
        <v>44256</v>
      </c>
    </row>
    <row r="296" spans="1:32" hidden="1" x14ac:dyDescent="0.35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>
        <v>139.19999999999999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  <c r="AE296">
        <f t="shared" si="8"/>
        <v>4</v>
      </c>
      <c r="AF296" s="7">
        <f t="shared" si="9"/>
        <v>44287</v>
      </c>
    </row>
    <row r="297" spans="1:32" hidden="1" x14ac:dyDescent="0.35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  <c r="AE297">
        <f t="shared" si="8"/>
        <v>4</v>
      </c>
      <c r="AF297" s="7">
        <f t="shared" si="9"/>
        <v>44287</v>
      </c>
    </row>
    <row r="298" spans="1:32" x14ac:dyDescent="0.35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  <c r="AE298">
        <f t="shared" si="8"/>
        <v>4</v>
      </c>
      <c r="AF298" s="7">
        <f t="shared" si="9"/>
        <v>44287</v>
      </c>
    </row>
    <row r="299" spans="1:32" hidden="1" x14ac:dyDescent="0.35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>
        <v>139.19999999999999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  <c r="AE299">
        <f t="shared" si="8"/>
        <v>5</v>
      </c>
      <c r="AF299" s="7">
        <f t="shared" si="9"/>
        <v>44317</v>
      </c>
    </row>
    <row r="300" spans="1:32" hidden="1" x14ac:dyDescent="0.35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  <c r="AE300">
        <f t="shared" si="8"/>
        <v>5</v>
      </c>
      <c r="AF300" s="7">
        <f t="shared" si="9"/>
        <v>44317</v>
      </c>
    </row>
    <row r="301" spans="1:32" x14ac:dyDescent="0.35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  <c r="AE301">
        <f t="shared" si="8"/>
        <v>5</v>
      </c>
      <c r="AF301" s="7">
        <f t="shared" si="9"/>
        <v>44317</v>
      </c>
    </row>
    <row r="302" spans="1:32" hidden="1" x14ac:dyDescent="0.35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>
        <v>139.19999999999999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  <c r="AE302">
        <f t="shared" si="8"/>
        <v>6</v>
      </c>
      <c r="AF302" s="7">
        <f t="shared" si="9"/>
        <v>44348</v>
      </c>
    </row>
    <row r="303" spans="1:32" hidden="1" x14ac:dyDescent="0.35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  <c r="AE303">
        <f t="shared" si="8"/>
        <v>6</v>
      </c>
      <c r="AF303" s="7">
        <f t="shared" si="9"/>
        <v>44348</v>
      </c>
    </row>
    <row r="304" spans="1:32" x14ac:dyDescent="0.35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  <c r="AE304">
        <f t="shared" si="8"/>
        <v>6</v>
      </c>
      <c r="AF304" s="7">
        <f t="shared" si="9"/>
        <v>44348</v>
      </c>
    </row>
    <row r="305" spans="1:32" hidden="1" x14ac:dyDescent="0.35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>
        <v>139.19999999999999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  <c r="AE305">
        <f t="shared" si="8"/>
        <v>7</v>
      </c>
      <c r="AF305" s="7">
        <f t="shared" si="9"/>
        <v>44378</v>
      </c>
    </row>
    <row r="306" spans="1:32" hidden="1" x14ac:dyDescent="0.35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  <c r="AE306">
        <f t="shared" si="8"/>
        <v>7</v>
      </c>
      <c r="AF306" s="7">
        <f t="shared" si="9"/>
        <v>44378</v>
      </c>
    </row>
    <row r="307" spans="1:32" x14ac:dyDescent="0.35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  <c r="AE307">
        <f t="shared" si="8"/>
        <v>7</v>
      </c>
      <c r="AF307" s="7">
        <f t="shared" si="9"/>
        <v>44378</v>
      </c>
    </row>
    <row r="308" spans="1:32" hidden="1" x14ac:dyDescent="0.35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>
        <v>139.19999999999999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  <c r="AE308">
        <f t="shared" si="8"/>
        <v>8</v>
      </c>
      <c r="AF308" s="7">
        <f t="shared" si="9"/>
        <v>44409</v>
      </c>
    </row>
    <row r="309" spans="1:32" hidden="1" x14ac:dyDescent="0.35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  <c r="AE309">
        <f t="shared" si="8"/>
        <v>8</v>
      </c>
      <c r="AF309" s="7">
        <f t="shared" si="9"/>
        <v>44409</v>
      </c>
    </row>
    <row r="310" spans="1:32" x14ac:dyDescent="0.35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  <c r="AE310">
        <f t="shared" si="8"/>
        <v>8</v>
      </c>
      <c r="AF310" s="7">
        <f t="shared" si="9"/>
        <v>44409</v>
      </c>
    </row>
    <row r="311" spans="1:32" hidden="1" x14ac:dyDescent="0.35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>
        <v>139.19999999999999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  <c r="AE311">
        <f t="shared" si="8"/>
        <v>9</v>
      </c>
      <c r="AF311" s="7">
        <f t="shared" si="9"/>
        <v>44440</v>
      </c>
    </row>
    <row r="312" spans="1:32" hidden="1" x14ac:dyDescent="0.35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  <c r="AE312">
        <f t="shared" si="8"/>
        <v>9</v>
      </c>
      <c r="AF312" s="7">
        <f t="shared" si="9"/>
        <v>44440</v>
      </c>
    </row>
    <row r="313" spans="1:32" x14ac:dyDescent="0.35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  <c r="AE313">
        <f t="shared" si="8"/>
        <v>9</v>
      </c>
      <c r="AF313" s="7">
        <f t="shared" si="9"/>
        <v>44440</v>
      </c>
    </row>
    <row r="314" spans="1:32" hidden="1" x14ac:dyDescent="0.35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>
        <v>139.19999999999999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  <c r="AE314">
        <f t="shared" si="8"/>
        <v>10</v>
      </c>
      <c r="AF314" s="7">
        <f t="shared" si="9"/>
        <v>44470</v>
      </c>
    </row>
    <row r="315" spans="1:32" hidden="1" x14ac:dyDescent="0.35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  <c r="AE315">
        <f t="shared" si="8"/>
        <v>10</v>
      </c>
      <c r="AF315" s="7">
        <f t="shared" si="9"/>
        <v>44470</v>
      </c>
    </row>
    <row r="316" spans="1:32" x14ac:dyDescent="0.35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  <c r="AE316">
        <f t="shared" si="8"/>
        <v>10</v>
      </c>
      <c r="AF316" s="7">
        <f t="shared" si="9"/>
        <v>44470</v>
      </c>
    </row>
    <row r="317" spans="1:32" hidden="1" x14ac:dyDescent="0.35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>
        <v>139.19999999999999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  <c r="AE317">
        <f t="shared" si="8"/>
        <v>11</v>
      </c>
      <c r="AF317" s="7">
        <f t="shared" si="9"/>
        <v>44501</v>
      </c>
    </row>
    <row r="318" spans="1:32" hidden="1" x14ac:dyDescent="0.35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  <c r="AE318">
        <f t="shared" si="8"/>
        <v>11</v>
      </c>
      <c r="AF318" s="7">
        <f t="shared" si="9"/>
        <v>44501</v>
      </c>
    </row>
    <row r="319" spans="1:32" x14ac:dyDescent="0.35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  <c r="AE319">
        <f t="shared" si="8"/>
        <v>11</v>
      </c>
      <c r="AF319" s="7">
        <f t="shared" si="9"/>
        <v>44501</v>
      </c>
    </row>
    <row r="320" spans="1:32" hidden="1" x14ac:dyDescent="0.35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>
        <v>139.19999999999999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  <c r="AE320">
        <f t="shared" si="8"/>
        <v>12</v>
      </c>
      <c r="AF320" s="7">
        <f t="shared" si="9"/>
        <v>44531</v>
      </c>
    </row>
    <row r="321" spans="1:32" hidden="1" x14ac:dyDescent="0.35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  <c r="AE321">
        <f t="shared" si="8"/>
        <v>12</v>
      </c>
      <c r="AF321" s="7">
        <f t="shared" si="9"/>
        <v>44531</v>
      </c>
    </row>
    <row r="322" spans="1:32" x14ac:dyDescent="0.35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  <c r="AE322">
        <f t="shared" ref="AE322:AE373" si="10">IF(C322="January",1,IF(C322="February",2,IF(C322="March",3,IF(C322="April",4,IF(C322="May",5,IF(C322="June",6,IF(C322="July",7,IF(C322="August",8,IF(C322="September",9,IF(C322="October",10,IF(C322="November",11,IF(C322="December",12,""))))))))))))</f>
        <v>12</v>
      </c>
      <c r="AF322" s="7">
        <f t="shared" ref="AF322:AF373" si="11">DATE(B322,AE322,1)</f>
        <v>44531</v>
      </c>
    </row>
    <row r="323" spans="1:32" hidden="1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>
        <v>139.19999999999999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  <c r="AE323">
        <f t="shared" si="10"/>
        <v>1</v>
      </c>
      <c r="AF323" s="7">
        <f t="shared" si="11"/>
        <v>44562</v>
      </c>
    </row>
    <row r="324" spans="1:32" hidden="1" x14ac:dyDescent="0.3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  <c r="AE324">
        <f t="shared" si="10"/>
        <v>1</v>
      </c>
      <c r="AF324" s="7">
        <f t="shared" si="11"/>
        <v>44562</v>
      </c>
    </row>
    <row r="325" spans="1:32" x14ac:dyDescent="0.3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  <c r="AE325">
        <f t="shared" si="10"/>
        <v>1</v>
      </c>
      <c r="AF325" s="7">
        <f t="shared" si="11"/>
        <v>44562</v>
      </c>
    </row>
    <row r="326" spans="1:32" hidden="1" x14ac:dyDescent="0.3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>
        <v>139.19999999999999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  <c r="AE326">
        <f t="shared" si="10"/>
        <v>2</v>
      </c>
      <c r="AF326" s="7">
        <f t="shared" si="11"/>
        <v>44593</v>
      </c>
    </row>
    <row r="327" spans="1:32" hidden="1" x14ac:dyDescent="0.35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  <c r="AE327">
        <f t="shared" si="10"/>
        <v>2</v>
      </c>
      <c r="AF327" s="7">
        <f t="shared" si="11"/>
        <v>44593</v>
      </c>
    </row>
    <row r="328" spans="1:32" x14ac:dyDescent="0.3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  <c r="AE328">
        <f t="shared" si="10"/>
        <v>2</v>
      </c>
      <c r="AF328" s="7">
        <f t="shared" si="11"/>
        <v>44593</v>
      </c>
    </row>
    <row r="329" spans="1:32" hidden="1" x14ac:dyDescent="0.35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>
        <v>139.19999999999999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  <c r="AE329">
        <f t="shared" si="10"/>
        <v>3</v>
      </c>
      <c r="AF329" s="7">
        <f t="shared" si="11"/>
        <v>44621</v>
      </c>
    </row>
    <row r="330" spans="1:32" hidden="1" x14ac:dyDescent="0.35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  <c r="AE330">
        <f t="shared" si="10"/>
        <v>3</v>
      </c>
      <c r="AF330" s="7">
        <f t="shared" si="11"/>
        <v>44621</v>
      </c>
    </row>
    <row r="331" spans="1:32" x14ac:dyDescent="0.35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  <c r="AE331">
        <f t="shared" si="10"/>
        <v>3</v>
      </c>
      <c r="AF331" s="7">
        <f t="shared" si="11"/>
        <v>44621</v>
      </c>
    </row>
    <row r="332" spans="1:32" hidden="1" x14ac:dyDescent="0.35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>
        <v>139.19999999999999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  <c r="AE332">
        <f t="shared" si="10"/>
        <v>4</v>
      </c>
      <c r="AF332" s="7">
        <f t="shared" si="11"/>
        <v>44652</v>
      </c>
    </row>
    <row r="333" spans="1:32" hidden="1" x14ac:dyDescent="0.35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  <c r="AE333">
        <f t="shared" si="10"/>
        <v>4</v>
      </c>
      <c r="AF333" s="7">
        <f t="shared" si="11"/>
        <v>44652</v>
      </c>
    </row>
    <row r="334" spans="1:32" x14ac:dyDescent="0.35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  <c r="AE334">
        <f t="shared" si="10"/>
        <v>4</v>
      </c>
      <c r="AF334" s="7">
        <f t="shared" si="11"/>
        <v>44652</v>
      </c>
    </row>
    <row r="335" spans="1:32" hidden="1" x14ac:dyDescent="0.35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>
        <v>139.19999999999999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  <c r="AE335">
        <f t="shared" si="10"/>
        <v>5</v>
      </c>
      <c r="AF335" s="7">
        <f t="shared" si="11"/>
        <v>44682</v>
      </c>
    </row>
    <row r="336" spans="1:32" hidden="1" x14ac:dyDescent="0.35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  <c r="AE336">
        <f t="shared" si="10"/>
        <v>5</v>
      </c>
      <c r="AF336" s="7">
        <f t="shared" si="11"/>
        <v>44682</v>
      </c>
    </row>
    <row r="337" spans="1:32" x14ac:dyDescent="0.35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  <c r="AE337">
        <f t="shared" si="10"/>
        <v>5</v>
      </c>
      <c r="AF337" s="7">
        <f t="shared" si="11"/>
        <v>44682</v>
      </c>
    </row>
    <row r="338" spans="1:32" hidden="1" x14ac:dyDescent="0.35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>
        <v>139.19999999999999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  <c r="AE338">
        <f t="shared" si="10"/>
        <v>6</v>
      </c>
      <c r="AF338" s="7">
        <f t="shared" si="11"/>
        <v>44713</v>
      </c>
    </row>
    <row r="339" spans="1:32" hidden="1" x14ac:dyDescent="0.35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  <c r="AE339">
        <f t="shared" si="10"/>
        <v>6</v>
      </c>
      <c r="AF339" s="7">
        <f t="shared" si="11"/>
        <v>44713</v>
      </c>
    </row>
    <row r="340" spans="1:32" x14ac:dyDescent="0.35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  <c r="AE340">
        <f t="shared" si="10"/>
        <v>6</v>
      </c>
      <c r="AF340" s="7">
        <f t="shared" si="11"/>
        <v>44713</v>
      </c>
    </row>
    <row r="341" spans="1:32" hidden="1" x14ac:dyDescent="0.35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>
        <v>139.19999999999999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  <c r="AE341">
        <f t="shared" si="10"/>
        <v>7</v>
      </c>
      <c r="AF341" s="7">
        <f t="shared" si="11"/>
        <v>44743</v>
      </c>
    </row>
    <row r="342" spans="1:32" hidden="1" x14ac:dyDescent="0.35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  <c r="AE342">
        <f t="shared" si="10"/>
        <v>7</v>
      </c>
      <c r="AF342" s="7">
        <f t="shared" si="11"/>
        <v>44743</v>
      </c>
    </row>
    <row r="343" spans="1:32" x14ac:dyDescent="0.35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  <c r="AE343">
        <f t="shared" si="10"/>
        <v>7</v>
      </c>
      <c r="AF343" s="7">
        <f t="shared" si="11"/>
        <v>44743</v>
      </c>
    </row>
    <row r="344" spans="1:32" hidden="1" x14ac:dyDescent="0.35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>
        <v>139.19999999999999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  <c r="AE344">
        <f t="shared" si="10"/>
        <v>8</v>
      </c>
      <c r="AF344" s="7">
        <f t="shared" si="11"/>
        <v>44774</v>
      </c>
    </row>
    <row r="345" spans="1:32" hidden="1" x14ac:dyDescent="0.35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  <c r="AE345">
        <f t="shared" si="10"/>
        <v>8</v>
      </c>
      <c r="AF345" s="7">
        <f t="shared" si="11"/>
        <v>44774</v>
      </c>
    </row>
    <row r="346" spans="1:32" x14ac:dyDescent="0.35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  <c r="AE346">
        <f t="shared" si="10"/>
        <v>8</v>
      </c>
      <c r="AF346" s="7">
        <f t="shared" si="11"/>
        <v>44774</v>
      </c>
    </row>
    <row r="347" spans="1:32" hidden="1" x14ac:dyDescent="0.35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>
        <v>139.19999999999999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  <c r="AE347">
        <f t="shared" si="10"/>
        <v>9</v>
      </c>
      <c r="AF347" s="7">
        <f t="shared" si="11"/>
        <v>44805</v>
      </c>
    </row>
    <row r="348" spans="1:32" hidden="1" x14ac:dyDescent="0.35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  <c r="AE348">
        <f t="shared" si="10"/>
        <v>9</v>
      </c>
      <c r="AF348" s="7">
        <f t="shared" si="11"/>
        <v>44805</v>
      </c>
    </row>
    <row r="349" spans="1:32" x14ac:dyDescent="0.35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  <c r="AE349">
        <f t="shared" si="10"/>
        <v>9</v>
      </c>
      <c r="AF349" s="7">
        <f t="shared" si="11"/>
        <v>44805</v>
      </c>
    </row>
    <row r="350" spans="1:32" hidden="1" x14ac:dyDescent="0.35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>
        <v>139.19999999999999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  <c r="AE350">
        <f t="shared" si="10"/>
        <v>10</v>
      </c>
      <c r="AF350" s="7">
        <f t="shared" si="11"/>
        <v>44835</v>
      </c>
    </row>
    <row r="351" spans="1:32" hidden="1" x14ac:dyDescent="0.35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  <c r="AE351">
        <f t="shared" si="10"/>
        <v>10</v>
      </c>
      <c r="AF351" s="7">
        <f t="shared" si="11"/>
        <v>44835</v>
      </c>
    </row>
    <row r="352" spans="1:32" x14ac:dyDescent="0.35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  <c r="AE352">
        <f t="shared" si="10"/>
        <v>10</v>
      </c>
      <c r="AF352" s="7">
        <f t="shared" si="11"/>
        <v>44835</v>
      </c>
    </row>
    <row r="353" spans="1:32" hidden="1" x14ac:dyDescent="0.35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>
        <v>139.19999999999999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  <c r="AE353">
        <f t="shared" si="10"/>
        <v>11</v>
      </c>
      <c r="AF353" s="7">
        <f t="shared" si="11"/>
        <v>44866</v>
      </c>
    </row>
    <row r="354" spans="1:32" hidden="1" x14ac:dyDescent="0.35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  <c r="AE354">
        <f t="shared" si="10"/>
        <v>11</v>
      </c>
      <c r="AF354" s="7">
        <f t="shared" si="11"/>
        <v>44866</v>
      </c>
    </row>
    <row r="355" spans="1:32" x14ac:dyDescent="0.35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  <c r="AE355">
        <f t="shared" si="10"/>
        <v>11</v>
      </c>
      <c r="AF355" s="7">
        <f t="shared" si="11"/>
        <v>44866</v>
      </c>
    </row>
    <row r="356" spans="1:32" hidden="1" x14ac:dyDescent="0.35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>
        <v>139.19999999999999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  <c r="AE356">
        <f t="shared" si="10"/>
        <v>12</v>
      </c>
      <c r="AF356" s="7">
        <f t="shared" si="11"/>
        <v>44896</v>
      </c>
    </row>
    <row r="357" spans="1:32" hidden="1" x14ac:dyDescent="0.35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  <c r="AE357">
        <f t="shared" si="10"/>
        <v>12</v>
      </c>
      <c r="AF357" s="7">
        <f t="shared" si="11"/>
        <v>44896</v>
      </c>
    </row>
    <row r="358" spans="1:32" x14ac:dyDescent="0.35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  <c r="AE358">
        <f t="shared" si="10"/>
        <v>12</v>
      </c>
      <c r="AF358" s="7">
        <f t="shared" si="11"/>
        <v>44896</v>
      </c>
    </row>
    <row r="359" spans="1:32" hidden="1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>
        <v>139.19999999999999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  <c r="AE359">
        <f t="shared" si="10"/>
        <v>1</v>
      </c>
      <c r="AF359" s="7">
        <f t="shared" si="11"/>
        <v>44927</v>
      </c>
    </row>
    <row r="360" spans="1:32" hidden="1" x14ac:dyDescent="0.3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  <c r="AE360">
        <f t="shared" si="10"/>
        <v>1</v>
      </c>
      <c r="AF360" s="7">
        <f t="shared" si="11"/>
        <v>44927</v>
      </c>
    </row>
    <row r="361" spans="1:32" x14ac:dyDescent="0.3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  <c r="AE361">
        <f t="shared" si="10"/>
        <v>1</v>
      </c>
      <c r="AF361" s="7">
        <f t="shared" si="11"/>
        <v>44927</v>
      </c>
    </row>
    <row r="362" spans="1:32" hidden="1" x14ac:dyDescent="0.3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>
        <v>139.19999999999999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  <c r="AE362">
        <f t="shared" si="10"/>
        <v>2</v>
      </c>
      <c r="AF362" s="7">
        <f t="shared" si="11"/>
        <v>44958</v>
      </c>
    </row>
    <row r="363" spans="1:32" hidden="1" x14ac:dyDescent="0.35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  <c r="AE363">
        <f t="shared" si="10"/>
        <v>2</v>
      </c>
      <c r="AF363" s="7">
        <f t="shared" si="11"/>
        <v>44958</v>
      </c>
    </row>
    <row r="364" spans="1:32" x14ac:dyDescent="0.3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  <c r="AE364">
        <f t="shared" si="10"/>
        <v>2</v>
      </c>
      <c r="AF364" s="7">
        <f t="shared" si="11"/>
        <v>44958</v>
      </c>
    </row>
    <row r="365" spans="1:32" hidden="1" x14ac:dyDescent="0.35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>
        <v>139.19999999999999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  <c r="AE365">
        <f t="shared" si="10"/>
        <v>3</v>
      </c>
      <c r="AF365" s="7">
        <f t="shared" si="11"/>
        <v>44986</v>
      </c>
    </row>
    <row r="366" spans="1:32" hidden="1" x14ac:dyDescent="0.35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  <c r="AE366">
        <f t="shared" si="10"/>
        <v>3</v>
      </c>
      <c r="AF366" s="7">
        <f t="shared" si="11"/>
        <v>44986</v>
      </c>
    </row>
    <row r="367" spans="1:32" x14ac:dyDescent="0.35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  <c r="AE367">
        <f t="shared" si="10"/>
        <v>3</v>
      </c>
      <c r="AF367" s="7">
        <f t="shared" si="11"/>
        <v>44986</v>
      </c>
    </row>
    <row r="368" spans="1:32" hidden="1" x14ac:dyDescent="0.35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>
        <v>139.19999999999999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  <c r="AE368">
        <f t="shared" si="10"/>
        <v>4</v>
      </c>
      <c r="AF368" s="7">
        <f t="shared" si="11"/>
        <v>45017</v>
      </c>
    </row>
    <row r="369" spans="1:32" hidden="1" x14ac:dyDescent="0.35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  <c r="AE369">
        <f t="shared" si="10"/>
        <v>4</v>
      </c>
      <c r="AF369" s="7">
        <f t="shared" si="11"/>
        <v>45017</v>
      </c>
    </row>
    <row r="370" spans="1:32" x14ac:dyDescent="0.35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  <c r="AE370">
        <f t="shared" si="10"/>
        <v>4</v>
      </c>
      <c r="AF370" s="7">
        <f t="shared" si="11"/>
        <v>45017</v>
      </c>
    </row>
    <row r="371" spans="1:32" hidden="1" x14ac:dyDescent="0.35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>
        <v>139.19999999999999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  <c r="AE371">
        <f t="shared" si="10"/>
        <v>5</v>
      </c>
      <c r="AF371" s="7">
        <f t="shared" si="11"/>
        <v>45047</v>
      </c>
    </row>
    <row r="372" spans="1:32" hidden="1" x14ac:dyDescent="0.35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  <c r="AE372">
        <f t="shared" si="10"/>
        <v>5</v>
      </c>
      <c r="AF372" s="7">
        <f t="shared" si="11"/>
        <v>45047</v>
      </c>
    </row>
    <row r="373" spans="1:32" x14ac:dyDescent="0.35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  <c r="AE373">
        <f t="shared" si="10"/>
        <v>5</v>
      </c>
      <c r="AF373" s="7">
        <f t="shared" si="11"/>
        <v>45047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E560-982B-4D34-BA6F-EACC707620C5}">
  <sheetPr filterMode="1"/>
  <dimension ref="A1:AD125"/>
  <sheetViews>
    <sheetView workbookViewId="0">
      <selection sqref="A1:A1048576"/>
    </sheetView>
  </sheetViews>
  <sheetFormatPr defaultRowHeight="14.5" x14ac:dyDescent="0.35"/>
  <cols>
    <col min="13" max="13" width="31.26953125" style="17" bestFit="1" customWidth="1"/>
    <col min="14" max="14" width="17.7265625" bestFit="1" customWidth="1"/>
    <col min="18" max="18" width="22" bestFit="1" customWidth="1"/>
    <col min="24" max="24" width="26.453125" bestFit="1" customWidth="1"/>
    <col min="25" max="25" width="11.453125" bestFit="1" customWidth="1"/>
    <col min="26" max="26" width="24.36328125" bestFit="1" customWidth="1"/>
    <col min="30" max="30" width="9.08984375" bestFit="1" customWidth="1"/>
  </cols>
  <sheetData>
    <row r="1" spans="1:30" x14ac:dyDescent="0.35">
      <c r="A1" s="6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4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49</v>
      </c>
      <c r="AD1" s="10" t="s">
        <v>50</v>
      </c>
    </row>
    <row r="2" spans="1:30" hidden="1" x14ac:dyDescent="0.35">
      <c r="A2" s="5" t="s">
        <v>34</v>
      </c>
      <c r="B2" s="3">
        <v>108.4</v>
      </c>
      <c r="C2" s="3">
        <v>107.3</v>
      </c>
      <c r="D2" s="3">
        <v>110</v>
      </c>
      <c r="E2" s="3">
        <v>104.4</v>
      </c>
      <c r="F2" s="3">
        <v>105.1</v>
      </c>
      <c r="G2" s="3">
        <v>103.2</v>
      </c>
      <c r="H2" s="3">
        <v>102.2</v>
      </c>
      <c r="I2" s="3">
        <v>106</v>
      </c>
      <c r="J2" s="3">
        <v>106.2</v>
      </c>
      <c r="K2" s="3">
        <v>102.7</v>
      </c>
      <c r="L2" s="3">
        <v>104.9</v>
      </c>
      <c r="M2" s="15">
        <v>107.3</v>
      </c>
      <c r="N2" s="3">
        <v>105.6</v>
      </c>
      <c r="O2" s="3">
        <v>105.1</v>
      </c>
      <c r="P2" s="3">
        <v>106.3</v>
      </c>
      <c r="Q2" s="3">
        <v>105.5</v>
      </c>
      <c r="R2" s="3">
        <v>106.2</v>
      </c>
      <c r="S2" s="3">
        <v>100.3</v>
      </c>
      <c r="T2" s="3">
        <v>105.5</v>
      </c>
      <c r="U2" s="3">
        <v>104.8</v>
      </c>
      <c r="V2" s="3">
        <v>104</v>
      </c>
      <c r="W2" s="3">
        <v>103.2</v>
      </c>
      <c r="X2" s="3">
        <v>103.1</v>
      </c>
      <c r="Y2" s="3">
        <v>103.6</v>
      </c>
      <c r="Z2" s="3">
        <v>104.5</v>
      </c>
      <c r="AA2" s="3">
        <v>103.9</v>
      </c>
      <c r="AB2" s="3">
        <v>104.6</v>
      </c>
      <c r="AC2" s="3">
        <v>1</v>
      </c>
      <c r="AD2" s="8">
        <v>41275</v>
      </c>
    </row>
    <row r="3" spans="1:30" hidden="1" x14ac:dyDescent="0.35">
      <c r="A3" s="4" t="s">
        <v>34</v>
      </c>
      <c r="B3" s="2">
        <v>110.4</v>
      </c>
      <c r="C3" s="2">
        <v>110.2</v>
      </c>
      <c r="D3" s="2">
        <v>112.8</v>
      </c>
      <c r="E3" s="2">
        <v>104.9</v>
      </c>
      <c r="F3" s="2">
        <v>105.5</v>
      </c>
      <c r="G3" s="2">
        <v>103.6</v>
      </c>
      <c r="H3" s="2">
        <v>103.2</v>
      </c>
      <c r="I3" s="2">
        <v>105.3</v>
      </c>
      <c r="J3" s="2">
        <v>105.1</v>
      </c>
      <c r="K3" s="2">
        <v>102.8</v>
      </c>
      <c r="L3" s="2">
        <v>105.5</v>
      </c>
      <c r="M3" s="16">
        <v>108.3</v>
      </c>
      <c r="N3" s="2">
        <v>106.6</v>
      </c>
      <c r="O3" s="2">
        <v>105.7</v>
      </c>
      <c r="P3" s="2">
        <v>106.9</v>
      </c>
      <c r="Q3" s="2">
        <v>106</v>
      </c>
      <c r="R3" s="2">
        <v>106.8</v>
      </c>
      <c r="S3" s="2">
        <v>100.4</v>
      </c>
      <c r="T3" s="2">
        <v>106</v>
      </c>
      <c r="U3" s="2">
        <v>105.2</v>
      </c>
      <c r="V3" s="2">
        <v>104.5</v>
      </c>
      <c r="W3" s="2">
        <v>104.2</v>
      </c>
      <c r="X3" s="2">
        <v>103.6</v>
      </c>
      <c r="Y3" s="2">
        <v>103.9</v>
      </c>
      <c r="Z3" s="2">
        <v>104.5</v>
      </c>
      <c r="AA3" s="2">
        <v>104.4</v>
      </c>
      <c r="AB3" s="2">
        <v>105.3</v>
      </c>
      <c r="AC3" s="2">
        <v>2</v>
      </c>
      <c r="AD3" s="9">
        <v>41306</v>
      </c>
    </row>
    <row r="4" spans="1:30" hidden="1" x14ac:dyDescent="0.35">
      <c r="A4" s="5" t="s">
        <v>34</v>
      </c>
      <c r="B4" s="3">
        <v>111.4</v>
      </c>
      <c r="C4" s="3">
        <v>109.7</v>
      </c>
      <c r="D4" s="3">
        <v>111.2</v>
      </c>
      <c r="E4" s="3">
        <v>105.1</v>
      </c>
      <c r="F4" s="3">
        <v>104.9</v>
      </c>
      <c r="G4" s="3">
        <v>105.3</v>
      </c>
      <c r="H4" s="3">
        <v>102.2</v>
      </c>
      <c r="I4" s="3">
        <v>105</v>
      </c>
      <c r="J4" s="3">
        <v>104.2</v>
      </c>
      <c r="K4" s="3">
        <v>103</v>
      </c>
      <c r="L4" s="3">
        <v>106.2</v>
      </c>
      <c r="M4" s="15">
        <v>108.9</v>
      </c>
      <c r="N4" s="3">
        <v>106.9</v>
      </c>
      <c r="O4" s="3">
        <v>106.6</v>
      </c>
      <c r="P4" s="3">
        <v>107.4</v>
      </c>
      <c r="Q4" s="3">
        <v>106.5</v>
      </c>
      <c r="R4" s="3">
        <v>107.3</v>
      </c>
      <c r="S4" s="3">
        <v>100.4</v>
      </c>
      <c r="T4" s="3">
        <v>106.1</v>
      </c>
      <c r="U4" s="3">
        <v>105.6</v>
      </c>
      <c r="V4" s="3">
        <v>104.9</v>
      </c>
      <c r="W4" s="3">
        <v>105.1</v>
      </c>
      <c r="X4" s="3">
        <v>103.7</v>
      </c>
      <c r="Y4" s="3">
        <v>104</v>
      </c>
      <c r="Z4" s="3">
        <v>104.3</v>
      </c>
      <c r="AA4" s="3">
        <v>104.7</v>
      </c>
      <c r="AB4" s="3">
        <v>105.5</v>
      </c>
      <c r="AC4" s="3">
        <v>3</v>
      </c>
      <c r="AD4" s="8">
        <v>41334</v>
      </c>
    </row>
    <row r="5" spans="1:30" hidden="1" x14ac:dyDescent="0.35">
      <c r="A5" s="4" t="s">
        <v>34</v>
      </c>
      <c r="B5" s="2">
        <v>111.6</v>
      </c>
      <c r="C5" s="2">
        <v>110.9</v>
      </c>
      <c r="D5" s="2">
        <v>106.6</v>
      </c>
      <c r="E5" s="2">
        <v>105.7</v>
      </c>
      <c r="F5" s="2">
        <v>104.4</v>
      </c>
      <c r="G5" s="2">
        <v>108.9</v>
      </c>
      <c r="H5" s="2">
        <v>105.5</v>
      </c>
      <c r="I5" s="2">
        <v>105.3</v>
      </c>
      <c r="J5" s="2">
        <v>103.5</v>
      </c>
      <c r="K5" s="2">
        <v>103.3</v>
      </c>
      <c r="L5" s="2">
        <v>107.2</v>
      </c>
      <c r="M5" s="16">
        <v>109.6</v>
      </c>
      <c r="N5" s="2">
        <v>107.7</v>
      </c>
      <c r="O5" s="2">
        <v>107.5</v>
      </c>
      <c r="P5" s="2">
        <v>108</v>
      </c>
      <c r="Q5" s="2">
        <v>107</v>
      </c>
      <c r="R5" s="2">
        <v>107.9</v>
      </c>
      <c r="S5" s="2">
        <v>100.5</v>
      </c>
      <c r="T5" s="2">
        <v>106.5</v>
      </c>
      <c r="U5" s="2">
        <v>106.3</v>
      </c>
      <c r="V5" s="2">
        <v>105.3</v>
      </c>
      <c r="W5" s="2">
        <v>104.7</v>
      </c>
      <c r="X5" s="2">
        <v>104.2</v>
      </c>
      <c r="Y5" s="2">
        <v>105</v>
      </c>
      <c r="Z5" s="2">
        <v>102.9</v>
      </c>
      <c r="AA5" s="2">
        <v>104.8</v>
      </c>
      <c r="AB5" s="2">
        <v>106.1</v>
      </c>
      <c r="AC5" s="2">
        <v>4</v>
      </c>
      <c r="AD5" s="9">
        <v>41365</v>
      </c>
    </row>
    <row r="6" spans="1:30" hidden="1" x14ac:dyDescent="0.35">
      <c r="A6" s="5" t="s">
        <v>34</v>
      </c>
      <c r="B6" s="3">
        <v>112.3</v>
      </c>
      <c r="C6" s="3">
        <v>111.3</v>
      </c>
      <c r="D6" s="3">
        <v>104.7</v>
      </c>
      <c r="E6" s="3">
        <v>106.8</v>
      </c>
      <c r="F6" s="3">
        <v>103.9</v>
      </c>
      <c r="G6" s="3">
        <v>109.3</v>
      </c>
      <c r="H6" s="3">
        <v>112.9</v>
      </c>
      <c r="I6" s="3">
        <v>105.8</v>
      </c>
      <c r="J6" s="3">
        <v>103.1</v>
      </c>
      <c r="K6" s="3">
        <v>104.3</v>
      </c>
      <c r="L6" s="3">
        <v>108.1</v>
      </c>
      <c r="M6" s="15">
        <v>110.5</v>
      </c>
      <c r="N6" s="3">
        <v>109.2</v>
      </c>
      <c r="O6" s="3">
        <v>108.6</v>
      </c>
      <c r="P6" s="3">
        <v>108.7</v>
      </c>
      <c r="Q6" s="3">
        <v>107.4</v>
      </c>
      <c r="R6" s="3">
        <v>108.5</v>
      </c>
      <c r="S6" s="3">
        <v>100.5</v>
      </c>
      <c r="T6" s="3">
        <v>107.4</v>
      </c>
      <c r="U6" s="3">
        <v>106.9</v>
      </c>
      <c r="V6" s="3">
        <v>105.9</v>
      </c>
      <c r="W6" s="3">
        <v>104</v>
      </c>
      <c r="X6" s="3">
        <v>104.8</v>
      </c>
      <c r="Y6" s="3">
        <v>105.6</v>
      </c>
      <c r="Z6" s="3">
        <v>102.3</v>
      </c>
      <c r="AA6" s="3">
        <v>104.8</v>
      </c>
      <c r="AB6" s="3">
        <v>106.9</v>
      </c>
      <c r="AC6" s="3">
        <v>5</v>
      </c>
      <c r="AD6" s="8">
        <v>41395</v>
      </c>
    </row>
    <row r="7" spans="1:30" hidden="1" x14ac:dyDescent="0.35">
      <c r="A7" s="4" t="s">
        <v>34</v>
      </c>
      <c r="B7" s="2">
        <v>113.8</v>
      </c>
      <c r="C7" s="2">
        <v>114.9</v>
      </c>
      <c r="D7" s="2">
        <v>109.8</v>
      </c>
      <c r="E7" s="2">
        <v>107.9</v>
      </c>
      <c r="F7" s="2">
        <v>104.2</v>
      </c>
      <c r="G7" s="2">
        <v>110.7</v>
      </c>
      <c r="H7" s="2">
        <v>126.7</v>
      </c>
      <c r="I7" s="2">
        <v>106.3</v>
      </c>
      <c r="J7" s="2">
        <v>103.2</v>
      </c>
      <c r="K7" s="2">
        <v>105.7</v>
      </c>
      <c r="L7" s="2">
        <v>109</v>
      </c>
      <c r="M7" s="16">
        <v>111.6</v>
      </c>
      <c r="N7" s="2">
        <v>112.2</v>
      </c>
      <c r="O7" s="2">
        <v>109.5</v>
      </c>
      <c r="P7" s="2">
        <v>109.5</v>
      </c>
      <c r="Q7" s="2">
        <v>108.1</v>
      </c>
      <c r="R7" s="2">
        <v>109.3</v>
      </c>
      <c r="S7" s="2">
        <v>106.6</v>
      </c>
      <c r="T7" s="2">
        <v>108.3</v>
      </c>
      <c r="U7" s="2">
        <v>107.6</v>
      </c>
      <c r="V7" s="2">
        <v>106.4</v>
      </c>
      <c r="W7" s="2">
        <v>105.1</v>
      </c>
      <c r="X7" s="2">
        <v>105.4</v>
      </c>
      <c r="Y7" s="2">
        <v>107.4</v>
      </c>
      <c r="Z7" s="2">
        <v>102.8</v>
      </c>
      <c r="AA7" s="2">
        <v>105.8</v>
      </c>
      <c r="AB7" s="2">
        <v>109.3</v>
      </c>
      <c r="AC7" s="2">
        <v>6</v>
      </c>
      <c r="AD7" s="9">
        <v>41426</v>
      </c>
    </row>
    <row r="8" spans="1:30" hidden="1" x14ac:dyDescent="0.35">
      <c r="A8" s="5" t="s">
        <v>34</v>
      </c>
      <c r="B8" s="3">
        <v>114.8</v>
      </c>
      <c r="C8" s="3">
        <v>116.4</v>
      </c>
      <c r="D8" s="3">
        <v>111.9</v>
      </c>
      <c r="E8" s="3">
        <v>108.9</v>
      </c>
      <c r="F8" s="3">
        <v>104.3</v>
      </c>
      <c r="G8" s="3">
        <v>111.7</v>
      </c>
      <c r="H8" s="3">
        <v>140</v>
      </c>
      <c r="I8" s="3">
        <v>106.4</v>
      </c>
      <c r="J8" s="3">
        <v>103.3</v>
      </c>
      <c r="K8" s="3">
        <v>106.8</v>
      </c>
      <c r="L8" s="3">
        <v>109.6</v>
      </c>
      <c r="M8" s="15">
        <v>112.6</v>
      </c>
      <c r="N8" s="3">
        <v>114.7</v>
      </c>
      <c r="O8" s="3">
        <v>110.3</v>
      </c>
      <c r="P8" s="3">
        <v>110.2</v>
      </c>
      <c r="Q8" s="3">
        <v>108.8</v>
      </c>
      <c r="R8" s="3">
        <v>110</v>
      </c>
      <c r="S8" s="3">
        <v>107.7</v>
      </c>
      <c r="T8" s="3">
        <v>109.2</v>
      </c>
      <c r="U8" s="3">
        <v>108.2</v>
      </c>
      <c r="V8" s="3">
        <v>107</v>
      </c>
      <c r="W8" s="3">
        <v>107.1</v>
      </c>
      <c r="X8" s="3">
        <v>106.1</v>
      </c>
      <c r="Y8" s="3">
        <v>109.1</v>
      </c>
      <c r="Z8" s="3">
        <v>102.8</v>
      </c>
      <c r="AA8" s="3">
        <v>106.9</v>
      </c>
      <c r="AB8" s="3">
        <v>111</v>
      </c>
      <c r="AC8" s="3">
        <v>7</v>
      </c>
      <c r="AD8" s="8">
        <v>41456</v>
      </c>
    </row>
    <row r="9" spans="1:30" hidden="1" x14ac:dyDescent="0.35">
      <c r="A9" s="4" t="s">
        <v>34</v>
      </c>
      <c r="B9" s="2">
        <v>115.6</v>
      </c>
      <c r="C9" s="2">
        <v>117.2</v>
      </c>
      <c r="D9" s="2">
        <v>111.7</v>
      </c>
      <c r="E9" s="2">
        <v>109.6</v>
      </c>
      <c r="F9" s="2">
        <v>104.5</v>
      </c>
      <c r="G9" s="2">
        <v>109.8</v>
      </c>
      <c r="H9" s="2">
        <v>151.80000000000001</v>
      </c>
      <c r="I9" s="2">
        <v>106.5</v>
      </c>
      <c r="J9" s="2">
        <v>103.1</v>
      </c>
      <c r="K9" s="2">
        <v>107.4</v>
      </c>
      <c r="L9" s="2">
        <v>110.2</v>
      </c>
      <c r="M9" s="16">
        <v>113.4</v>
      </c>
      <c r="N9" s="2">
        <v>116.6</v>
      </c>
      <c r="O9" s="2">
        <v>111.2</v>
      </c>
      <c r="P9" s="2">
        <v>111</v>
      </c>
      <c r="Q9" s="2">
        <v>109.4</v>
      </c>
      <c r="R9" s="2">
        <v>110.7</v>
      </c>
      <c r="S9" s="2">
        <v>108.9</v>
      </c>
      <c r="T9" s="2">
        <v>109.7</v>
      </c>
      <c r="U9" s="2">
        <v>108.7</v>
      </c>
      <c r="V9" s="2">
        <v>107.5</v>
      </c>
      <c r="W9" s="2">
        <v>108</v>
      </c>
      <c r="X9" s="2">
        <v>106.6</v>
      </c>
      <c r="Y9" s="2">
        <v>109.9</v>
      </c>
      <c r="Z9" s="2">
        <v>105.4</v>
      </c>
      <c r="AA9" s="2">
        <v>107.9</v>
      </c>
      <c r="AB9" s="2">
        <v>112.4</v>
      </c>
      <c r="AC9" s="2">
        <v>8</v>
      </c>
      <c r="AD9" s="9">
        <v>41487</v>
      </c>
    </row>
    <row r="10" spans="1:30" hidden="1" x14ac:dyDescent="0.35">
      <c r="A10" s="5" t="s">
        <v>34</v>
      </c>
      <c r="B10" s="3">
        <v>116.4</v>
      </c>
      <c r="C10" s="3">
        <v>116.9</v>
      </c>
      <c r="D10" s="3">
        <v>112.3</v>
      </c>
      <c r="E10" s="3">
        <v>110.5</v>
      </c>
      <c r="F10" s="3">
        <v>105.3</v>
      </c>
      <c r="G10" s="3">
        <v>107.3</v>
      </c>
      <c r="H10" s="3">
        <v>160.9</v>
      </c>
      <c r="I10" s="3">
        <v>107.1</v>
      </c>
      <c r="J10" s="3">
        <v>103.1</v>
      </c>
      <c r="K10" s="3">
        <v>108.3</v>
      </c>
      <c r="L10" s="3">
        <v>110.7</v>
      </c>
      <c r="M10" s="15">
        <v>114.6</v>
      </c>
      <c r="N10" s="3">
        <v>118.3</v>
      </c>
      <c r="O10" s="3">
        <v>112</v>
      </c>
      <c r="P10" s="3">
        <v>112.2</v>
      </c>
      <c r="Q10" s="3">
        <v>110.4</v>
      </c>
      <c r="R10" s="3">
        <v>111.9</v>
      </c>
      <c r="S10" s="3">
        <v>109.7</v>
      </c>
      <c r="T10" s="3">
        <v>110.5</v>
      </c>
      <c r="U10" s="3">
        <v>109.6</v>
      </c>
      <c r="V10" s="3">
        <v>108.1</v>
      </c>
      <c r="W10" s="3">
        <v>109.9</v>
      </c>
      <c r="X10" s="3">
        <v>107.5</v>
      </c>
      <c r="Y10" s="3">
        <v>110.6</v>
      </c>
      <c r="Z10" s="3">
        <v>106.8</v>
      </c>
      <c r="AA10" s="3">
        <v>109</v>
      </c>
      <c r="AB10" s="3">
        <v>113.7</v>
      </c>
      <c r="AC10" s="3">
        <v>9</v>
      </c>
      <c r="AD10" s="8">
        <v>41518</v>
      </c>
    </row>
    <row r="11" spans="1:30" hidden="1" x14ac:dyDescent="0.35">
      <c r="A11" s="4" t="s">
        <v>34</v>
      </c>
      <c r="B11" s="2">
        <v>117.1</v>
      </c>
      <c r="C11" s="2">
        <v>116.3</v>
      </c>
      <c r="D11" s="2">
        <v>113.3</v>
      </c>
      <c r="E11" s="2">
        <v>111.2</v>
      </c>
      <c r="F11" s="2">
        <v>105.7</v>
      </c>
      <c r="G11" s="2">
        <v>109.9</v>
      </c>
      <c r="H11" s="2">
        <v>171.2</v>
      </c>
      <c r="I11" s="2">
        <v>107.3</v>
      </c>
      <c r="J11" s="2">
        <v>102.7</v>
      </c>
      <c r="K11" s="2">
        <v>108.7</v>
      </c>
      <c r="L11" s="2">
        <v>111.2</v>
      </c>
      <c r="M11" s="16">
        <v>115.4</v>
      </c>
      <c r="N11" s="2">
        <v>120.2</v>
      </c>
      <c r="O11" s="2">
        <v>112.5</v>
      </c>
      <c r="P11" s="2">
        <v>113.2</v>
      </c>
      <c r="Q11" s="2">
        <v>111.2</v>
      </c>
      <c r="R11" s="2">
        <v>112.8</v>
      </c>
      <c r="S11" s="2">
        <v>110.5</v>
      </c>
      <c r="T11" s="2">
        <v>110.9</v>
      </c>
      <c r="U11" s="2">
        <v>110.3</v>
      </c>
      <c r="V11" s="2">
        <v>108.6</v>
      </c>
      <c r="W11" s="2">
        <v>109.5</v>
      </c>
      <c r="X11" s="2">
        <v>108.1</v>
      </c>
      <c r="Y11" s="2">
        <v>110.8</v>
      </c>
      <c r="Z11" s="2">
        <v>107.4</v>
      </c>
      <c r="AA11" s="2">
        <v>109.2</v>
      </c>
      <c r="AB11" s="2">
        <v>114.8</v>
      </c>
      <c r="AC11" s="2">
        <v>10</v>
      </c>
      <c r="AD11" s="9">
        <v>41548</v>
      </c>
    </row>
    <row r="12" spans="1:30" hidden="1" x14ac:dyDescent="0.35">
      <c r="A12" s="5" t="s">
        <v>34</v>
      </c>
      <c r="B12" s="3">
        <v>118.1</v>
      </c>
      <c r="C12" s="3">
        <v>115.4</v>
      </c>
      <c r="D12" s="3">
        <v>118.7</v>
      </c>
      <c r="E12" s="3">
        <v>112.5</v>
      </c>
      <c r="F12" s="3">
        <v>106.8</v>
      </c>
      <c r="G12" s="3">
        <v>113.5</v>
      </c>
      <c r="H12" s="3">
        <v>183.1</v>
      </c>
      <c r="I12" s="3">
        <v>108.2</v>
      </c>
      <c r="J12" s="3">
        <v>102.2</v>
      </c>
      <c r="K12" s="3">
        <v>109.4</v>
      </c>
      <c r="L12" s="3">
        <v>111.8</v>
      </c>
      <c r="M12" s="15">
        <v>116.5</v>
      </c>
      <c r="N12" s="3">
        <v>122.6</v>
      </c>
      <c r="O12" s="3">
        <v>113.1</v>
      </c>
      <c r="P12" s="3">
        <v>114.2</v>
      </c>
      <c r="Q12" s="3">
        <v>111.9</v>
      </c>
      <c r="R12" s="3">
        <v>113.8</v>
      </c>
      <c r="S12" s="3">
        <v>111.1</v>
      </c>
      <c r="T12" s="3">
        <v>111.6</v>
      </c>
      <c r="U12" s="3">
        <v>111.1</v>
      </c>
      <c r="V12" s="3">
        <v>109.3</v>
      </c>
      <c r="W12" s="3">
        <v>109.5</v>
      </c>
      <c r="X12" s="3">
        <v>108.6</v>
      </c>
      <c r="Y12" s="3">
        <v>111.2</v>
      </c>
      <c r="Z12" s="3">
        <v>108.1</v>
      </c>
      <c r="AA12" s="3">
        <v>109.7</v>
      </c>
      <c r="AB12" s="3">
        <v>116.3</v>
      </c>
      <c r="AC12" s="3">
        <v>11</v>
      </c>
      <c r="AD12" s="8">
        <v>41579</v>
      </c>
    </row>
    <row r="13" spans="1:30" hidden="1" x14ac:dyDescent="0.35">
      <c r="A13" s="4" t="s">
        <v>34</v>
      </c>
      <c r="B13" s="2">
        <v>119.1</v>
      </c>
      <c r="C13" s="2">
        <v>116.7</v>
      </c>
      <c r="D13" s="2">
        <v>123.5</v>
      </c>
      <c r="E13" s="2">
        <v>113.4</v>
      </c>
      <c r="F13" s="2">
        <v>107.3</v>
      </c>
      <c r="G13" s="2">
        <v>113.3</v>
      </c>
      <c r="H13" s="2">
        <v>145.4</v>
      </c>
      <c r="I13" s="2">
        <v>108.7</v>
      </c>
      <c r="J13" s="2">
        <v>101.5</v>
      </c>
      <c r="K13" s="2">
        <v>110.5</v>
      </c>
      <c r="L13" s="2">
        <v>112.1</v>
      </c>
      <c r="M13" s="16">
        <v>117.4</v>
      </c>
      <c r="N13" s="2">
        <v>118.4</v>
      </c>
      <c r="O13" s="2">
        <v>114</v>
      </c>
      <c r="P13" s="2">
        <v>115.2</v>
      </c>
      <c r="Q13" s="2">
        <v>112.7</v>
      </c>
      <c r="R13" s="2">
        <v>114.8</v>
      </c>
      <c r="S13" s="2">
        <v>110.7</v>
      </c>
      <c r="T13" s="2">
        <v>111.9</v>
      </c>
      <c r="U13" s="2">
        <v>111.7</v>
      </c>
      <c r="V13" s="2">
        <v>109.7</v>
      </c>
      <c r="W13" s="2">
        <v>109.8</v>
      </c>
      <c r="X13" s="2">
        <v>109</v>
      </c>
      <c r="Y13" s="2">
        <v>111.5</v>
      </c>
      <c r="Z13" s="2">
        <v>107.9</v>
      </c>
      <c r="AA13" s="2">
        <v>110</v>
      </c>
      <c r="AB13" s="2">
        <v>114.5</v>
      </c>
      <c r="AC13" s="2">
        <v>12</v>
      </c>
      <c r="AD13" s="9">
        <v>41609</v>
      </c>
    </row>
    <row r="14" spans="1:30" hidden="1" x14ac:dyDescent="0.35">
      <c r="A14" s="5" t="s">
        <v>34</v>
      </c>
      <c r="B14" s="3">
        <v>119.6</v>
      </c>
      <c r="C14" s="3">
        <v>118.8</v>
      </c>
      <c r="D14" s="3">
        <v>124.1</v>
      </c>
      <c r="E14" s="3">
        <v>114.1</v>
      </c>
      <c r="F14" s="3">
        <v>106.8</v>
      </c>
      <c r="G14" s="3">
        <v>113.9</v>
      </c>
      <c r="H14" s="3">
        <v>122.2</v>
      </c>
      <c r="I14" s="3">
        <v>108.9</v>
      </c>
      <c r="J14" s="3">
        <v>100.2</v>
      </c>
      <c r="K14" s="3">
        <v>111</v>
      </c>
      <c r="L14" s="3">
        <v>112.3</v>
      </c>
      <c r="M14" s="15">
        <v>118.1</v>
      </c>
      <c r="N14" s="3">
        <v>115.8</v>
      </c>
      <c r="O14" s="3">
        <v>114.5</v>
      </c>
      <c r="P14" s="3">
        <v>115.8</v>
      </c>
      <c r="Q14" s="3">
        <v>113.2</v>
      </c>
      <c r="R14" s="3">
        <v>115.4</v>
      </c>
      <c r="S14" s="3">
        <v>111.6</v>
      </c>
      <c r="T14" s="3">
        <v>112.2</v>
      </c>
      <c r="U14" s="3">
        <v>112.3</v>
      </c>
      <c r="V14" s="3">
        <v>110.3</v>
      </c>
      <c r="W14" s="3">
        <v>110.7</v>
      </c>
      <c r="X14" s="3">
        <v>109.7</v>
      </c>
      <c r="Y14" s="3">
        <v>111.6</v>
      </c>
      <c r="Z14" s="3">
        <v>108.2</v>
      </c>
      <c r="AA14" s="3">
        <v>110.6</v>
      </c>
      <c r="AB14" s="3">
        <v>113.6</v>
      </c>
      <c r="AC14" s="3">
        <v>1</v>
      </c>
      <c r="AD14" s="8">
        <v>41640</v>
      </c>
    </row>
    <row r="15" spans="1:30" hidden="1" x14ac:dyDescent="0.35">
      <c r="A15" s="4" t="s">
        <v>34</v>
      </c>
      <c r="B15" s="2">
        <v>120.2</v>
      </c>
      <c r="C15" s="2">
        <v>119.2</v>
      </c>
      <c r="D15" s="2">
        <v>122.5</v>
      </c>
      <c r="E15" s="2">
        <v>115.1</v>
      </c>
      <c r="F15" s="2">
        <v>106.6</v>
      </c>
      <c r="G15" s="2">
        <v>115.4</v>
      </c>
      <c r="H15" s="2">
        <v>114.5</v>
      </c>
      <c r="I15" s="2">
        <v>109.3</v>
      </c>
      <c r="J15" s="2">
        <v>99.2</v>
      </c>
      <c r="K15" s="2">
        <v>111.4</v>
      </c>
      <c r="L15" s="2">
        <v>112.6</v>
      </c>
      <c r="M15" s="16">
        <v>118.8</v>
      </c>
      <c r="N15" s="2">
        <v>115.3</v>
      </c>
      <c r="O15" s="2">
        <v>114.7</v>
      </c>
      <c r="P15" s="2">
        <v>116.4</v>
      </c>
      <c r="Q15" s="2">
        <v>113.3</v>
      </c>
      <c r="R15" s="2">
        <v>115.9</v>
      </c>
      <c r="S15" s="2">
        <v>112.5</v>
      </c>
      <c r="T15" s="2">
        <v>112.4</v>
      </c>
      <c r="U15" s="2">
        <v>112.8</v>
      </c>
      <c r="V15" s="2">
        <v>110.7</v>
      </c>
      <c r="W15" s="2">
        <v>111.1</v>
      </c>
      <c r="X15" s="2">
        <v>110.1</v>
      </c>
      <c r="Y15" s="2">
        <v>111.8</v>
      </c>
      <c r="Z15" s="2">
        <v>108.7</v>
      </c>
      <c r="AA15" s="2">
        <v>110.9</v>
      </c>
      <c r="AB15" s="2">
        <v>113.6</v>
      </c>
      <c r="AC15" s="2">
        <v>2</v>
      </c>
      <c r="AD15" s="9">
        <v>41671</v>
      </c>
    </row>
    <row r="16" spans="1:30" hidden="1" x14ac:dyDescent="0.35">
      <c r="A16" s="5" t="s">
        <v>34</v>
      </c>
      <c r="B16" s="3">
        <v>120.7</v>
      </c>
      <c r="C16" s="3">
        <v>119.3</v>
      </c>
      <c r="D16" s="3">
        <v>121</v>
      </c>
      <c r="E16" s="3">
        <v>116.1</v>
      </c>
      <c r="F16" s="3">
        <v>106.9</v>
      </c>
      <c r="G16" s="3">
        <v>118.7</v>
      </c>
      <c r="H16" s="3">
        <v>116.3</v>
      </c>
      <c r="I16" s="3">
        <v>109.8</v>
      </c>
      <c r="J16" s="3">
        <v>99.6</v>
      </c>
      <c r="K16" s="3">
        <v>111.8</v>
      </c>
      <c r="L16" s="3">
        <v>112.7</v>
      </c>
      <c r="M16" s="15">
        <v>119.3</v>
      </c>
      <c r="N16" s="3">
        <v>116.1</v>
      </c>
      <c r="O16" s="3">
        <v>115.2</v>
      </c>
      <c r="P16" s="3">
        <v>116.8</v>
      </c>
      <c r="Q16" s="3">
        <v>113.7</v>
      </c>
      <c r="R16" s="3">
        <v>116.4</v>
      </c>
      <c r="S16" s="3">
        <v>113.2</v>
      </c>
      <c r="T16" s="3">
        <v>112.5</v>
      </c>
      <c r="U16" s="3">
        <v>113.2</v>
      </c>
      <c r="V16" s="3">
        <v>111.2</v>
      </c>
      <c r="W16" s="3">
        <v>111.4</v>
      </c>
      <c r="X16" s="3">
        <v>110.6</v>
      </c>
      <c r="Y16" s="3">
        <v>112</v>
      </c>
      <c r="Z16" s="3">
        <v>109</v>
      </c>
      <c r="AA16" s="3">
        <v>111.3</v>
      </c>
      <c r="AB16" s="3">
        <v>114.2</v>
      </c>
      <c r="AC16" s="3">
        <v>3</v>
      </c>
      <c r="AD16" s="8">
        <v>41699</v>
      </c>
    </row>
    <row r="17" spans="1:30" hidden="1" x14ac:dyDescent="0.35">
      <c r="A17" s="4" t="s">
        <v>34</v>
      </c>
      <c r="B17" s="2">
        <v>120.9</v>
      </c>
      <c r="C17" s="2">
        <v>119.9</v>
      </c>
      <c r="D17" s="2">
        <v>116.2</v>
      </c>
      <c r="E17" s="2">
        <v>117</v>
      </c>
      <c r="F17" s="2">
        <v>107.3</v>
      </c>
      <c r="G17" s="2">
        <v>126.1</v>
      </c>
      <c r="H17" s="2">
        <v>120.7</v>
      </c>
      <c r="I17" s="2">
        <v>111</v>
      </c>
      <c r="J17" s="2">
        <v>101.8</v>
      </c>
      <c r="K17" s="2">
        <v>112.6</v>
      </c>
      <c r="L17" s="2">
        <v>113.2</v>
      </c>
      <c r="M17" s="16">
        <v>119.8</v>
      </c>
      <c r="N17" s="2">
        <v>117.6</v>
      </c>
      <c r="O17" s="2">
        <v>116</v>
      </c>
      <c r="P17" s="2">
        <v>117.4</v>
      </c>
      <c r="Q17" s="2">
        <v>114.6</v>
      </c>
      <c r="R17" s="2">
        <v>117</v>
      </c>
      <c r="S17" s="2">
        <v>113.9</v>
      </c>
      <c r="T17" s="2">
        <v>112.5</v>
      </c>
      <c r="U17" s="2">
        <v>113.6</v>
      </c>
      <c r="V17" s="2">
        <v>111.5</v>
      </c>
      <c r="W17" s="2">
        <v>111.2</v>
      </c>
      <c r="X17" s="2">
        <v>110.9</v>
      </c>
      <c r="Y17" s="2">
        <v>112.7</v>
      </c>
      <c r="Z17" s="2">
        <v>109</v>
      </c>
      <c r="AA17" s="2">
        <v>111.5</v>
      </c>
      <c r="AB17" s="2">
        <v>115.1</v>
      </c>
      <c r="AC17" s="2">
        <v>4</v>
      </c>
      <c r="AD17" s="9">
        <v>41730</v>
      </c>
    </row>
    <row r="18" spans="1:30" hidden="1" x14ac:dyDescent="0.35">
      <c r="A18" s="5" t="s">
        <v>34</v>
      </c>
      <c r="B18" s="3">
        <v>121.1</v>
      </c>
      <c r="C18" s="3">
        <v>121.6</v>
      </c>
      <c r="D18" s="3">
        <v>115.9</v>
      </c>
      <c r="E18" s="3">
        <v>118.4</v>
      </c>
      <c r="F18" s="3">
        <v>107.7</v>
      </c>
      <c r="G18" s="3">
        <v>127.7</v>
      </c>
      <c r="H18" s="3">
        <v>125</v>
      </c>
      <c r="I18" s="3">
        <v>111.9</v>
      </c>
      <c r="J18" s="3">
        <v>102.8</v>
      </c>
      <c r="K18" s="3">
        <v>113.4</v>
      </c>
      <c r="L18" s="3">
        <v>113.7</v>
      </c>
      <c r="M18" s="15">
        <v>120.4</v>
      </c>
      <c r="N18" s="3">
        <v>118.9</v>
      </c>
      <c r="O18" s="3">
        <v>116.8</v>
      </c>
      <c r="P18" s="3">
        <v>118</v>
      </c>
      <c r="Q18" s="3">
        <v>115.2</v>
      </c>
      <c r="R18" s="3">
        <v>117.6</v>
      </c>
      <c r="S18" s="3">
        <v>114.3</v>
      </c>
      <c r="T18" s="3">
        <v>112.5</v>
      </c>
      <c r="U18" s="3">
        <v>114.1</v>
      </c>
      <c r="V18" s="3">
        <v>111.8</v>
      </c>
      <c r="W18" s="3">
        <v>111.3</v>
      </c>
      <c r="X18" s="3">
        <v>111.2</v>
      </c>
      <c r="Y18" s="3">
        <v>113</v>
      </c>
      <c r="Z18" s="3">
        <v>109.1</v>
      </c>
      <c r="AA18" s="3">
        <v>111.8</v>
      </c>
      <c r="AB18" s="3">
        <v>115.8</v>
      </c>
      <c r="AC18" s="3">
        <v>5</v>
      </c>
      <c r="AD18" s="8">
        <v>41760</v>
      </c>
    </row>
    <row r="19" spans="1:30" hidden="1" x14ac:dyDescent="0.35">
      <c r="A19" s="4" t="s">
        <v>34</v>
      </c>
      <c r="B19" s="2">
        <v>121.5</v>
      </c>
      <c r="C19" s="2">
        <v>123.1</v>
      </c>
      <c r="D19" s="2">
        <v>115.8</v>
      </c>
      <c r="E19" s="2">
        <v>119.7</v>
      </c>
      <c r="F19" s="2">
        <v>107.8</v>
      </c>
      <c r="G19" s="2">
        <v>128.30000000000001</v>
      </c>
      <c r="H19" s="2">
        <v>132.1</v>
      </c>
      <c r="I19" s="2">
        <v>112.4</v>
      </c>
      <c r="J19" s="2">
        <v>102.9</v>
      </c>
      <c r="K19" s="2">
        <v>114.3</v>
      </c>
      <c r="L19" s="2">
        <v>114.2</v>
      </c>
      <c r="M19" s="16">
        <v>121.2</v>
      </c>
      <c r="N19" s="2">
        <v>120.4</v>
      </c>
      <c r="O19" s="2">
        <v>117.8</v>
      </c>
      <c r="P19" s="2">
        <v>118.8</v>
      </c>
      <c r="Q19" s="2">
        <v>115.6</v>
      </c>
      <c r="R19" s="2">
        <v>118.3</v>
      </c>
      <c r="S19" s="2">
        <v>113.9</v>
      </c>
      <c r="T19" s="2">
        <v>113.2</v>
      </c>
      <c r="U19" s="2">
        <v>114.6</v>
      </c>
      <c r="V19" s="2">
        <v>112.3</v>
      </c>
      <c r="W19" s="2">
        <v>111.8</v>
      </c>
      <c r="X19" s="2">
        <v>111.6</v>
      </c>
      <c r="Y19" s="2">
        <v>114.8</v>
      </c>
      <c r="Z19" s="2">
        <v>108.3</v>
      </c>
      <c r="AA19" s="2">
        <v>112.3</v>
      </c>
      <c r="AB19" s="2">
        <v>116.7</v>
      </c>
      <c r="AC19" s="2">
        <v>6</v>
      </c>
      <c r="AD19" s="9">
        <v>41791</v>
      </c>
    </row>
    <row r="20" spans="1:30" hidden="1" x14ac:dyDescent="0.35">
      <c r="A20" s="5" t="s">
        <v>34</v>
      </c>
      <c r="B20" s="3">
        <v>122.4</v>
      </c>
      <c r="C20" s="3">
        <v>123.9</v>
      </c>
      <c r="D20" s="3">
        <v>117.8</v>
      </c>
      <c r="E20" s="3">
        <v>121</v>
      </c>
      <c r="F20" s="3">
        <v>107.9</v>
      </c>
      <c r="G20" s="3">
        <v>131.19999999999999</v>
      </c>
      <c r="H20" s="3">
        <v>157.69999999999999</v>
      </c>
      <c r="I20" s="3">
        <v>113.2</v>
      </c>
      <c r="J20" s="3">
        <v>104.1</v>
      </c>
      <c r="K20" s="3">
        <v>115.5</v>
      </c>
      <c r="L20" s="3">
        <v>114.8</v>
      </c>
      <c r="M20" s="15">
        <v>122.1</v>
      </c>
      <c r="N20" s="3">
        <v>124.7</v>
      </c>
      <c r="O20" s="3">
        <v>118.8</v>
      </c>
      <c r="P20" s="3">
        <v>119.6</v>
      </c>
      <c r="Q20" s="3">
        <v>116.3</v>
      </c>
      <c r="R20" s="3">
        <v>119.1</v>
      </c>
      <c r="S20" s="3">
        <v>114.8</v>
      </c>
      <c r="T20" s="3">
        <v>113.9</v>
      </c>
      <c r="U20" s="3">
        <v>115.2</v>
      </c>
      <c r="V20" s="3">
        <v>112.7</v>
      </c>
      <c r="W20" s="3">
        <v>113.1</v>
      </c>
      <c r="X20" s="3">
        <v>112.1</v>
      </c>
      <c r="Y20" s="3">
        <v>116.8</v>
      </c>
      <c r="Z20" s="3">
        <v>109.2</v>
      </c>
      <c r="AA20" s="3">
        <v>113.3</v>
      </c>
      <c r="AB20" s="3">
        <v>119.2</v>
      </c>
      <c r="AC20" s="3">
        <v>7</v>
      </c>
      <c r="AD20" s="8">
        <v>41821</v>
      </c>
    </row>
    <row r="21" spans="1:30" hidden="1" x14ac:dyDescent="0.35">
      <c r="A21" s="4" t="s">
        <v>34</v>
      </c>
      <c r="B21" s="2">
        <v>122.7</v>
      </c>
      <c r="C21" s="2">
        <v>124.4</v>
      </c>
      <c r="D21" s="2">
        <v>117.3</v>
      </c>
      <c r="E21" s="2">
        <v>122</v>
      </c>
      <c r="F21" s="2">
        <v>108</v>
      </c>
      <c r="G21" s="2">
        <v>131.1</v>
      </c>
      <c r="H21" s="2">
        <v>168.2</v>
      </c>
      <c r="I21" s="2">
        <v>114.5</v>
      </c>
      <c r="J21" s="2">
        <v>104.3</v>
      </c>
      <c r="K21" s="2">
        <v>117.1</v>
      </c>
      <c r="L21" s="2">
        <v>115.2</v>
      </c>
      <c r="M21" s="16">
        <v>123.1</v>
      </c>
      <c r="N21" s="2">
        <v>126.6</v>
      </c>
      <c r="O21" s="2">
        <v>119.9</v>
      </c>
      <c r="P21" s="2">
        <v>120</v>
      </c>
      <c r="Q21" s="2">
        <v>116.8</v>
      </c>
      <c r="R21" s="2">
        <v>119.6</v>
      </c>
      <c r="S21" s="2">
        <v>115.5</v>
      </c>
      <c r="T21" s="2">
        <v>114</v>
      </c>
      <c r="U21" s="2">
        <v>115.6</v>
      </c>
      <c r="V21" s="2">
        <v>113.3</v>
      </c>
      <c r="W21" s="2">
        <v>112.8</v>
      </c>
      <c r="X21" s="2">
        <v>112.6</v>
      </c>
      <c r="Y21" s="2">
        <v>118</v>
      </c>
      <c r="Z21" s="2">
        <v>109.9</v>
      </c>
      <c r="AA21" s="2">
        <v>113.7</v>
      </c>
      <c r="AB21" s="2">
        <v>120.3</v>
      </c>
      <c r="AC21" s="2">
        <v>8</v>
      </c>
      <c r="AD21" s="9">
        <v>41852</v>
      </c>
    </row>
    <row r="22" spans="1:30" hidden="1" x14ac:dyDescent="0.35">
      <c r="A22" s="5" t="s">
        <v>34</v>
      </c>
      <c r="B22" s="3">
        <v>122.9</v>
      </c>
      <c r="C22" s="3">
        <v>123.5</v>
      </c>
      <c r="D22" s="3">
        <v>117.3</v>
      </c>
      <c r="E22" s="3">
        <v>122.7</v>
      </c>
      <c r="F22" s="3">
        <v>107.9</v>
      </c>
      <c r="G22" s="3">
        <v>127.3</v>
      </c>
      <c r="H22" s="3">
        <v>162.1</v>
      </c>
      <c r="I22" s="3">
        <v>115.6</v>
      </c>
      <c r="J22" s="3">
        <v>103.8</v>
      </c>
      <c r="K22" s="3">
        <v>117.6</v>
      </c>
      <c r="L22" s="3">
        <v>115.8</v>
      </c>
      <c r="M22" s="15">
        <v>123.8</v>
      </c>
      <c r="N22" s="3">
        <v>125.8</v>
      </c>
      <c r="O22" s="3">
        <v>120.8</v>
      </c>
      <c r="P22" s="3">
        <v>120.7</v>
      </c>
      <c r="Q22" s="3">
        <v>117.2</v>
      </c>
      <c r="R22" s="3">
        <v>120.1</v>
      </c>
      <c r="S22" s="3">
        <v>116.1</v>
      </c>
      <c r="T22" s="3">
        <v>114.3</v>
      </c>
      <c r="U22" s="3">
        <v>116.1</v>
      </c>
      <c r="V22" s="3">
        <v>113.7</v>
      </c>
      <c r="W22" s="3">
        <v>112</v>
      </c>
      <c r="X22" s="3">
        <v>113.1</v>
      </c>
      <c r="Y22" s="3">
        <v>118.6</v>
      </c>
      <c r="Z22" s="3">
        <v>109.5</v>
      </c>
      <c r="AA22" s="3">
        <v>113.7</v>
      </c>
      <c r="AB22" s="3">
        <v>120.1</v>
      </c>
      <c r="AC22" s="3">
        <v>9</v>
      </c>
      <c r="AD22" s="8">
        <v>41883</v>
      </c>
    </row>
    <row r="23" spans="1:30" hidden="1" x14ac:dyDescent="0.35">
      <c r="A23" s="4" t="s">
        <v>34</v>
      </c>
      <c r="B23" s="2">
        <v>123.2</v>
      </c>
      <c r="C23" s="2">
        <v>123.8</v>
      </c>
      <c r="D23" s="2">
        <v>118.1</v>
      </c>
      <c r="E23" s="2">
        <v>123.2</v>
      </c>
      <c r="F23" s="2">
        <v>107.9</v>
      </c>
      <c r="G23" s="2">
        <v>126.4</v>
      </c>
      <c r="H23" s="2">
        <v>156.80000000000001</v>
      </c>
      <c r="I23" s="2">
        <v>116.1</v>
      </c>
      <c r="J23" s="2">
        <v>103.1</v>
      </c>
      <c r="K23" s="2">
        <v>118.1</v>
      </c>
      <c r="L23" s="2">
        <v>116.1</v>
      </c>
      <c r="M23" s="16">
        <v>124.5</v>
      </c>
      <c r="N23" s="2">
        <v>125.4</v>
      </c>
      <c r="O23" s="2">
        <v>121.1</v>
      </c>
      <c r="P23" s="2">
        <v>121.5</v>
      </c>
      <c r="Q23" s="2">
        <v>118.1</v>
      </c>
      <c r="R23" s="2">
        <v>121</v>
      </c>
      <c r="S23" s="2">
        <v>116.7</v>
      </c>
      <c r="T23" s="2">
        <v>114.7</v>
      </c>
      <c r="U23" s="2">
        <v>116.7</v>
      </c>
      <c r="V23" s="2">
        <v>114.3</v>
      </c>
      <c r="W23" s="2">
        <v>111.8</v>
      </c>
      <c r="X23" s="2">
        <v>113.3</v>
      </c>
      <c r="Y23" s="2">
        <v>118.8</v>
      </c>
      <c r="Z23" s="2">
        <v>109.6</v>
      </c>
      <c r="AA23" s="2">
        <v>113.9</v>
      </c>
      <c r="AB23" s="2">
        <v>120.1</v>
      </c>
      <c r="AC23" s="2">
        <v>10</v>
      </c>
      <c r="AD23" s="9">
        <v>41913</v>
      </c>
    </row>
    <row r="24" spans="1:30" hidden="1" x14ac:dyDescent="0.35">
      <c r="A24" s="5" t="s">
        <v>34</v>
      </c>
      <c r="B24" s="3">
        <v>123.3</v>
      </c>
      <c r="C24" s="3">
        <v>123.7</v>
      </c>
      <c r="D24" s="3">
        <v>121</v>
      </c>
      <c r="E24" s="3">
        <v>124.2</v>
      </c>
      <c r="F24" s="3">
        <v>107.8</v>
      </c>
      <c r="G24" s="3">
        <v>125.7</v>
      </c>
      <c r="H24" s="3">
        <v>152.4</v>
      </c>
      <c r="I24" s="3">
        <v>117.2</v>
      </c>
      <c r="J24" s="3">
        <v>102.1</v>
      </c>
      <c r="K24" s="3">
        <v>118.7</v>
      </c>
      <c r="L24" s="3">
        <v>116.4</v>
      </c>
      <c r="M24" s="15">
        <v>125.6</v>
      </c>
      <c r="N24" s="3">
        <v>125.1</v>
      </c>
      <c r="O24" s="3">
        <v>122.1</v>
      </c>
      <c r="P24" s="3">
        <v>122.1</v>
      </c>
      <c r="Q24" s="3">
        <v>118.4</v>
      </c>
      <c r="R24" s="3">
        <v>121.6</v>
      </c>
      <c r="S24" s="3">
        <v>117.1</v>
      </c>
      <c r="T24" s="3">
        <v>115.5</v>
      </c>
      <c r="U24" s="3">
        <v>117.3</v>
      </c>
      <c r="V24" s="3">
        <v>114.8</v>
      </c>
      <c r="W24" s="3">
        <v>110.8</v>
      </c>
      <c r="X24" s="3">
        <v>113.7</v>
      </c>
      <c r="Y24" s="3">
        <v>119</v>
      </c>
      <c r="Z24" s="3">
        <v>109.1</v>
      </c>
      <c r="AA24" s="3">
        <v>113.8</v>
      </c>
      <c r="AB24" s="3">
        <v>120.1</v>
      </c>
      <c r="AC24" s="3">
        <v>11</v>
      </c>
      <c r="AD24" s="8">
        <v>41944</v>
      </c>
    </row>
    <row r="25" spans="1:30" hidden="1" x14ac:dyDescent="0.35">
      <c r="A25" s="4" t="s">
        <v>34</v>
      </c>
      <c r="B25" s="2">
        <v>122.9</v>
      </c>
      <c r="C25" s="2">
        <v>123.2</v>
      </c>
      <c r="D25" s="2">
        <v>123.5</v>
      </c>
      <c r="E25" s="2">
        <v>124.5</v>
      </c>
      <c r="F25" s="2">
        <v>107.6</v>
      </c>
      <c r="G25" s="2">
        <v>125.7</v>
      </c>
      <c r="H25" s="2">
        <v>140.5</v>
      </c>
      <c r="I25" s="2">
        <v>117.6</v>
      </c>
      <c r="J25" s="2">
        <v>100.6</v>
      </c>
      <c r="K25" s="2">
        <v>119.1</v>
      </c>
      <c r="L25" s="2">
        <v>116.8</v>
      </c>
      <c r="M25" s="16">
        <v>126.1</v>
      </c>
      <c r="N25" s="2">
        <v>123.6</v>
      </c>
      <c r="O25" s="2">
        <v>123</v>
      </c>
      <c r="P25" s="2">
        <v>122.6</v>
      </c>
      <c r="Q25" s="2">
        <v>118.6</v>
      </c>
      <c r="R25" s="2">
        <v>122</v>
      </c>
      <c r="S25" s="2">
        <v>116.5</v>
      </c>
      <c r="T25" s="2">
        <v>115.7</v>
      </c>
      <c r="U25" s="2">
        <v>117.5</v>
      </c>
      <c r="V25" s="2">
        <v>115.1</v>
      </c>
      <c r="W25" s="2">
        <v>110.1</v>
      </c>
      <c r="X25" s="2">
        <v>113.9</v>
      </c>
      <c r="Y25" s="2">
        <v>119.5</v>
      </c>
      <c r="Z25" s="2">
        <v>109.8</v>
      </c>
      <c r="AA25" s="2">
        <v>113.8</v>
      </c>
      <c r="AB25" s="2">
        <v>119.4</v>
      </c>
      <c r="AC25" s="2">
        <v>12</v>
      </c>
      <c r="AD25" s="9">
        <v>41974</v>
      </c>
    </row>
    <row r="26" spans="1:30" hidden="1" x14ac:dyDescent="0.35">
      <c r="A26" s="5" t="s">
        <v>34</v>
      </c>
      <c r="B26" s="3">
        <v>123.4</v>
      </c>
      <c r="C26" s="3">
        <v>123.9</v>
      </c>
      <c r="D26" s="3">
        <v>123.8</v>
      </c>
      <c r="E26" s="3">
        <v>125</v>
      </c>
      <c r="F26" s="3">
        <v>108.5</v>
      </c>
      <c r="G26" s="3">
        <v>126.2</v>
      </c>
      <c r="H26" s="3">
        <v>133</v>
      </c>
      <c r="I26" s="3">
        <v>119.1</v>
      </c>
      <c r="J26" s="3">
        <v>99</v>
      </c>
      <c r="K26" s="3">
        <v>120.3</v>
      </c>
      <c r="L26" s="3">
        <v>117.3</v>
      </c>
      <c r="M26" s="15">
        <v>126.7</v>
      </c>
      <c r="N26" s="3">
        <v>123.1</v>
      </c>
      <c r="O26" s="3">
        <v>124</v>
      </c>
      <c r="P26" s="3">
        <v>123.1</v>
      </c>
      <c r="Q26" s="3">
        <v>119.3</v>
      </c>
      <c r="R26" s="3">
        <v>122.5</v>
      </c>
      <c r="S26" s="3">
        <v>117.3</v>
      </c>
      <c r="T26" s="3">
        <v>116.5</v>
      </c>
      <c r="U26" s="3">
        <v>118.1</v>
      </c>
      <c r="V26" s="3">
        <v>115.5</v>
      </c>
      <c r="W26" s="3">
        <v>109.4</v>
      </c>
      <c r="X26" s="3">
        <v>114.3</v>
      </c>
      <c r="Y26" s="3">
        <v>119.7</v>
      </c>
      <c r="Z26" s="3">
        <v>110.7</v>
      </c>
      <c r="AA26" s="3">
        <v>114</v>
      </c>
      <c r="AB26" s="3">
        <v>119.5</v>
      </c>
      <c r="AC26" s="3">
        <v>1</v>
      </c>
      <c r="AD26" s="8">
        <v>42005</v>
      </c>
    </row>
    <row r="27" spans="1:30" hidden="1" x14ac:dyDescent="0.35">
      <c r="A27" s="4" t="s">
        <v>34</v>
      </c>
      <c r="B27" s="2">
        <v>123.7</v>
      </c>
      <c r="C27" s="2">
        <v>125.1</v>
      </c>
      <c r="D27" s="2">
        <v>121.1</v>
      </c>
      <c r="E27" s="2">
        <v>125.7</v>
      </c>
      <c r="F27" s="2">
        <v>109.1</v>
      </c>
      <c r="G27" s="2">
        <v>125.8</v>
      </c>
      <c r="H27" s="2">
        <v>129.4</v>
      </c>
      <c r="I27" s="2">
        <v>120.9</v>
      </c>
      <c r="J27" s="2">
        <v>98.3</v>
      </c>
      <c r="K27" s="2">
        <v>121.6</v>
      </c>
      <c r="L27" s="2">
        <v>118</v>
      </c>
      <c r="M27" s="16">
        <v>127.6</v>
      </c>
      <c r="N27" s="2">
        <v>123.1</v>
      </c>
      <c r="O27" s="2">
        <v>125.2</v>
      </c>
      <c r="P27" s="2">
        <v>123.8</v>
      </c>
      <c r="Q27" s="2">
        <v>120.1</v>
      </c>
      <c r="R27" s="2">
        <v>123.3</v>
      </c>
      <c r="S27" s="2">
        <v>118.1</v>
      </c>
      <c r="T27" s="2">
        <v>117.7</v>
      </c>
      <c r="U27" s="2">
        <v>118.7</v>
      </c>
      <c r="V27" s="2">
        <v>116.3</v>
      </c>
      <c r="W27" s="2">
        <v>108.7</v>
      </c>
      <c r="X27" s="2">
        <v>114.9</v>
      </c>
      <c r="Y27" s="2">
        <v>119.7</v>
      </c>
      <c r="Z27" s="2">
        <v>111.2</v>
      </c>
      <c r="AA27" s="2">
        <v>114.1</v>
      </c>
      <c r="AB27" s="2">
        <v>119.7</v>
      </c>
      <c r="AC27" s="2">
        <v>2</v>
      </c>
      <c r="AD27" s="9">
        <v>42036</v>
      </c>
    </row>
    <row r="28" spans="1:30" hidden="1" x14ac:dyDescent="0.35">
      <c r="A28" s="5" t="s">
        <v>34</v>
      </c>
      <c r="B28" s="3">
        <v>123.5</v>
      </c>
      <c r="C28" s="3">
        <v>125.4</v>
      </c>
      <c r="D28" s="3">
        <v>116.8</v>
      </c>
      <c r="E28" s="3">
        <v>126</v>
      </c>
      <c r="F28" s="3">
        <v>109.2</v>
      </c>
      <c r="G28" s="3">
        <v>127.6</v>
      </c>
      <c r="H28" s="3">
        <v>129.19999999999999</v>
      </c>
      <c r="I28" s="3">
        <v>122.4</v>
      </c>
      <c r="J28" s="3">
        <v>97</v>
      </c>
      <c r="K28" s="3">
        <v>122.1</v>
      </c>
      <c r="L28" s="3">
        <v>118.1</v>
      </c>
      <c r="M28" s="15">
        <v>128.4</v>
      </c>
      <c r="N28" s="3">
        <v>123.4</v>
      </c>
      <c r="O28" s="3">
        <v>125.8</v>
      </c>
      <c r="P28" s="3">
        <v>124.3</v>
      </c>
      <c r="Q28" s="3">
        <v>120.4</v>
      </c>
      <c r="R28" s="3">
        <v>123.7</v>
      </c>
      <c r="S28" s="3">
        <v>118.6</v>
      </c>
      <c r="T28" s="3">
        <v>118.3</v>
      </c>
      <c r="U28" s="3">
        <v>119.2</v>
      </c>
      <c r="V28" s="3">
        <v>116.7</v>
      </c>
      <c r="W28" s="3">
        <v>109.9</v>
      </c>
      <c r="X28" s="3">
        <v>115.4</v>
      </c>
      <c r="Y28" s="3">
        <v>120.1</v>
      </c>
      <c r="Z28" s="3">
        <v>111</v>
      </c>
      <c r="AA28" s="3">
        <v>114.7</v>
      </c>
      <c r="AB28" s="3">
        <v>120.2</v>
      </c>
      <c r="AC28" s="3">
        <v>3</v>
      </c>
      <c r="AD28" s="8">
        <v>42064</v>
      </c>
    </row>
    <row r="29" spans="1:30" hidden="1" x14ac:dyDescent="0.35">
      <c r="A29" s="4" t="s">
        <v>34</v>
      </c>
      <c r="B29" s="2">
        <v>123.5</v>
      </c>
      <c r="C29" s="2">
        <v>126.4</v>
      </c>
      <c r="D29" s="2">
        <v>114.4</v>
      </c>
      <c r="E29" s="2">
        <v>126.6</v>
      </c>
      <c r="F29" s="2">
        <v>109.2</v>
      </c>
      <c r="G29" s="2">
        <v>132.5</v>
      </c>
      <c r="H29" s="2">
        <v>128.6</v>
      </c>
      <c r="I29" s="2">
        <v>124.8</v>
      </c>
      <c r="J29" s="2">
        <v>95.7</v>
      </c>
      <c r="K29" s="2">
        <v>122.4</v>
      </c>
      <c r="L29" s="2">
        <v>118.5</v>
      </c>
      <c r="M29" s="16">
        <v>129.1</v>
      </c>
      <c r="N29" s="2">
        <v>124</v>
      </c>
      <c r="O29" s="2">
        <v>126.9</v>
      </c>
      <c r="P29" s="2">
        <v>124.7</v>
      </c>
      <c r="Q29" s="2">
        <v>120.8</v>
      </c>
      <c r="R29" s="2">
        <v>124.1</v>
      </c>
      <c r="S29" s="2">
        <v>119.2</v>
      </c>
      <c r="T29" s="2">
        <v>118.7</v>
      </c>
      <c r="U29" s="2">
        <v>119.7</v>
      </c>
      <c r="V29" s="2">
        <v>117.1</v>
      </c>
      <c r="W29" s="2">
        <v>110.1</v>
      </c>
      <c r="X29" s="2">
        <v>115.9</v>
      </c>
      <c r="Y29" s="2">
        <v>121</v>
      </c>
      <c r="Z29" s="2">
        <v>111.7</v>
      </c>
      <c r="AA29" s="2">
        <v>115.1</v>
      </c>
      <c r="AB29" s="2">
        <v>120.7</v>
      </c>
      <c r="AC29" s="2">
        <v>4</v>
      </c>
      <c r="AD29" s="9">
        <v>42095</v>
      </c>
    </row>
    <row r="30" spans="1:30" hidden="1" x14ac:dyDescent="0.35">
      <c r="A30" s="5" t="s">
        <v>34</v>
      </c>
      <c r="B30" s="3">
        <v>123.6</v>
      </c>
      <c r="C30" s="3">
        <v>128</v>
      </c>
      <c r="D30" s="3">
        <v>115</v>
      </c>
      <c r="E30" s="3">
        <v>127.3</v>
      </c>
      <c r="F30" s="3">
        <v>109.8</v>
      </c>
      <c r="G30" s="3">
        <v>132.6</v>
      </c>
      <c r="H30" s="3">
        <v>130.9</v>
      </c>
      <c r="I30" s="3">
        <v>130.5</v>
      </c>
      <c r="J30" s="3">
        <v>95.3</v>
      </c>
      <c r="K30" s="3">
        <v>123.4</v>
      </c>
      <c r="L30" s="3">
        <v>119.2</v>
      </c>
      <c r="M30" s="15">
        <v>129.80000000000001</v>
      </c>
      <c r="N30" s="3">
        <v>125</v>
      </c>
      <c r="O30" s="3">
        <v>127.9</v>
      </c>
      <c r="P30" s="3">
        <v>125.4</v>
      </c>
      <c r="Q30" s="3">
        <v>121.3</v>
      </c>
      <c r="R30" s="3">
        <v>124.7</v>
      </c>
      <c r="S30" s="3">
        <v>119.6</v>
      </c>
      <c r="T30" s="3">
        <v>119.2</v>
      </c>
      <c r="U30" s="3">
        <v>120.2</v>
      </c>
      <c r="V30" s="3">
        <v>117.7</v>
      </c>
      <c r="W30" s="3">
        <v>112</v>
      </c>
      <c r="X30" s="3">
        <v>116.3</v>
      </c>
      <c r="Y30" s="3">
        <v>121.4</v>
      </c>
      <c r="Z30" s="3">
        <v>112.3</v>
      </c>
      <c r="AA30" s="3">
        <v>116.1</v>
      </c>
      <c r="AB30" s="3">
        <v>121.6</v>
      </c>
      <c r="AC30" s="3">
        <v>5</v>
      </c>
      <c r="AD30" s="8">
        <v>42125</v>
      </c>
    </row>
    <row r="31" spans="1:30" hidden="1" x14ac:dyDescent="0.35">
      <c r="A31" s="4" t="s">
        <v>34</v>
      </c>
      <c r="B31" s="2">
        <v>123.9</v>
      </c>
      <c r="C31" s="2">
        <v>131.80000000000001</v>
      </c>
      <c r="D31" s="2">
        <v>121.6</v>
      </c>
      <c r="E31" s="2">
        <v>128.19999999999999</v>
      </c>
      <c r="F31" s="2">
        <v>111.1</v>
      </c>
      <c r="G31" s="2">
        <v>132.80000000000001</v>
      </c>
      <c r="H31" s="2">
        <v>139.1</v>
      </c>
      <c r="I31" s="2">
        <v>137.4</v>
      </c>
      <c r="J31" s="2">
        <v>94.1</v>
      </c>
      <c r="K31" s="2">
        <v>125.5</v>
      </c>
      <c r="L31" s="2">
        <v>119.8</v>
      </c>
      <c r="M31" s="16">
        <v>130.9</v>
      </c>
      <c r="N31" s="2">
        <v>127.3</v>
      </c>
      <c r="O31" s="2">
        <v>129.19999999999999</v>
      </c>
      <c r="P31" s="2">
        <v>126.4</v>
      </c>
      <c r="Q31" s="2">
        <v>122</v>
      </c>
      <c r="R31" s="2">
        <v>125.7</v>
      </c>
      <c r="S31" s="2">
        <v>119</v>
      </c>
      <c r="T31" s="2">
        <v>119.8</v>
      </c>
      <c r="U31" s="2">
        <v>121.1</v>
      </c>
      <c r="V31" s="2">
        <v>118.5</v>
      </c>
      <c r="W31" s="2">
        <v>112.9</v>
      </c>
      <c r="X31" s="2">
        <v>116.9</v>
      </c>
      <c r="Y31" s="2">
        <v>123.1</v>
      </c>
      <c r="Z31" s="2">
        <v>112.8</v>
      </c>
      <c r="AA31" s="2">
        <v>117</v>
      </c>
      <c r="AB31" s="2">
        <v>123</v>
      </c>
      <c r="AC31" s="2">
        <v>6</v>
      </c>
      <c r="AD31" s="9">
        <v>42156</v>
      </c>
    </row>
    <row r="32" spans="1:30" hidden="1" x14ac:dyDescent="0.35">
      <c r="A32" s="5" t="s">
        <v>34</v>
      </c>
      <c r="B32" s="3">
        <v>123.7</v>
      </c>
      <c r="C32" s="3">
        <v>132.5</v>
      </c>
      <c r="D32" s="3">
        <v>121</v>
      </c>
      <c r="E32" s="3">
        <v>128.30000000000001</v>
      </c>
      <c r="F32" s="3">
        <v>110.9</v>
      </c>
      <c r="G32" s="3">
        <v>133.1</v>
      </c>
      <c r="H32" s="3">
        <v>145.1</v>
      </c>
      <c r="I32" s="3">
        <v>139.1</v>
      </c>
      <c r="J32" s="3">
        <v>91.3</v>
      </c>
      <c r="K32" s="3">
        <v>126.1</v>
      </c>
      <c r="L32" s="3">
        <v>119.9</v>
      </c>
      <c r="M32" s="15">
        <v>131.4</v>
      </c>
      <c r="N32" s="3">
        <v>128.19999999999999</v>
      </c>
      <c r="O32" s="3">
        <v>130.4</v>
      </c>
      <c r="P32" s="3">
        <v>126.7</v>
      </c>
      <c r="Q32" s="3">
        <v>122.3</v>
      </c>
      <c r="R32" s="3">
        <v>126.1</v>
      </c>
      <c r="S32" s="3">
        <v>119.9</v>
      </c>
      <c r="T32" s="3">
        <v>120.1</v>
      </c>
      <c r="U32" s="3">
        <v>121.3</v>
      </c>
      <c r="V32" s="3">
        <v>119</v>
      </c>
      <c r="W32" s="3">
        <v>112.7</v>
      </c>
      <c r="X32" s="3">
        <v>117.2</v>
      </c>
      <c r="Y32" s="3">
        <v>124.4</v>
      </c>
      <c r="Z32" s="3">
        <v>112.3</v>
      </c>
      <c r="AA32" s="3">
        <v>117.2</v>
      </c>
      <c r="AB32" s="3">
        <v>123.6</v>
      </c>
      <c r="AC32" s="3">
        <v>7</v>
      </c>
      <c r="AD32" s="8">
        <v>42186</v>
      </c>
    </row>
    <row r="33" spans="1:30" hidden="1" x14ac:dyDescent="0.35">
      <c r="A33" s="4" t="s">
        <v>34</v>
      </c>
      <c r="B33" s="2">
        <v>124.2</v>
      </c>
      <c r="C33" s="2">
        <v>131.4</v>
      </c>
      <c r="D33" s="2">
        <v>120.1</v>
      </c>
      <c r="E33" s="2">
        <v>128.5</v>
      </c>
      <c r="F33" s="2">
        <v>111.4</v>
      </c>
      <c r="G33" s="2">
        <v>132.30000000000001</v>
      </c>
      <c r="H33" s="2">
        <v>157.6</v>
      </c>
      <c r="I33" s="2">
        <v>144</v>
      </c>
      <c r="J33" s="2">
        <v>90.5</v>
      </c>
      <c r="K33" s="2">
        <v>126.8</v>
      </c>
      <c r="L33" s="2">
        <v>120.4</v>
      </c>
      <c r="M33" s="16">
        <v>132.1</v>
      </c>
      <c r="N33" s="2">
        <v>130.30000000000001</v>
      </c>
      <c r="O33" s="2">
        <v>131.19999999999999</v>
      </c>
      <c r="P33" s="2">
        <v>127.2</v>
      </c>
      <c r="Q33" s="2">
        <v>122.9</v>
      </c>
      <c r="R33" s="2">
        <v>126.6</v>
      </c>
      <c r="S33" s="2">
        <v>120.9</v>
      </c>
      <c r="T33" s="2">
        <v>120.6</v>
      </c>
      <c r="U33" s="2">
        <v>122</v>
      </c>
      <c r="V33" s="2">
        <v>119.4</v>
      </c>
      <c r="W33" s="2">
        <v>111.7</v>
      </c>
      <c r="X33" s="2">
        <v>117.8</v>
      </c>
      <c r="Y33" s="2">
        <v>125.1</v>
      </c>
      <c r="Z33" s="2">
        <v>112.3</v>
      </c>
      <c r="AA33" s="2">
        <v>117.2</v>
      </c>
      <c r="AB33" s="2">
        <v>124.8</v>
      </c>
      <c r="AC33" s="2">
        <v>8</v>
      </c>
      <c r="AD33" s="9">
        <v>42217</v>
      </c>
    </row>
    <row r="34" spans="1:30" hidden="1" x14ac:dyDescent="0.35">
      <c r="A34" s="5" t="s">
        <v>34</v>
      </c>
      <c r="B34" s="3">
        <v>124.6</v>
      </c>
      <c r="C34" s="3">
        <v>130.4</v>
      </c>
      <c r="D34" s="3">
        <v>118.7</v>
      </c>
      <c r="E34" s="3">
        <v>128.9</v>
      </c>
      <c r="F34" s="3">
        <v>111.9</v>
      </c>
      <c r="G34" s="3">
        <v>128.4</v>
      </c>
      <c r="H34" s="3">
        <v>162.19999999999999</v>
      </c>
      <c r="I34" s="3">
        <v>150</v>
      </c>
      <c r="J34" s="3">
        <v>90.4</v>
      </c>
      <c r="K34" s="3">
        <v>128.4</v>
      </c>
      <c r="L34" s="3">
        <v>120.7</v>
      </c>
      <c r="M34" s="15">
        <v>132.5</v>
      </c>
      <c r="N34" s="3">
        <v>131.19999999999999</v>
      </c>
      <c r="O34" s="3">
        <v>132</v>
      </c>
      <c r="P34" s="3">
        <v>127.9</v>
      </c>
      <c r="Q34" s="3">
        <v>123.4</v>
      </c>
      <c r="R34" s="3">
        <v>127.2</v>
      </c>
      <c r="S34" s="3">
        <v>121.6</v>
      </c>
      <c r="T34" s="3">
        <v>120.4</v>
      </c>
      <c r="U34" s="3">
        <v>122.6</v>
      </c>
      <c r="V34" s="3">
        <v>119.8</v>
      </c>
      <c r="W34" s="3">
        <v>111.3</v>
      </c>
      <c r="X34" s="3">
        <v>118.3</v>
      </c>
      <c r="Y34" s="3">
        <v>125.7</v>
      </c>
      <c r="Z34" s="3">
        <v>113.4</v>
      </c>
      <c r="AA34" s="3">
        <v>117.5</v>
      </c>
      <c r="AB34" s="3">
        <v>125.4</v>
      </c>
      <c r="AC34" s="3">
        <v>9</v>
      </c>
      <c r="AD34" s="8">
        <v>42248</v>
      </c>
    </row>
    <row r="35" spans="1:30" hidden="1" x14ac:dyDescent="0.35">
      <c r="A35" s="4" t="s">
        <v>34</v>
      </c>
      <c r="B35" s="2">
        <v>125</v>
      </c>
      <c r="C35" s="2">
        <v>129.80000000000001</v>
      </c>
      <c r="D35" s="2">
        <v>118.9</v>
      </c>
      <c r="E35" s="2">
        <v>129.1</v>
      </c>
      <c r="F35" s="2">
        <v>113.3</v>
      </c>
      <c r="G35" s="2">
        <v>129</v>
      </c>
      <c r="H35" s="2">
        <v>160.4</v>
      </c>
      <c r="I35" s="2">
        <v>165.3</v>
      </c>
      <c r="J35" s="2">
        <v>92.3</v>
      </c>
      <c r="K35" s="2">
        <v>129.69999999999999</v>
      </c>
      <c r="L35" s="2">
        <v>121.1</v>
      </c>
      <c r="M35" s="16">
        <v>133</v>
      </c>
      <c r="N35" s="2">
        <v>132.1</v>
      </c>
      <c r="O35" s="2">
        <v>132.5</v>
      </c>
      <c r="P35" s="2">
        <v>128.5</v>
      </c>
      <c r="Q35" s="2">
        <v>123.8</v>
      </c>
      <c r="R35" s="2">
        <v>127.8</v>
      </c>
      <c r="S35" s="2">
        <v>122.4</v>
      </c>
      <c r="T35" s="2">
        <v>120.8</v>
      </c>
      <c r="U35" s="2">
        <v>123</v>
      </c>
      <c r="V35" s="2">
        <v>120.4</v>
      </c>
      <c r="W35" s="2">
        <v>111.4</v>
      </c>
      <c r="X35" s="2">
        <v>118.7</v>
      </c>
      <c r="Y35" s="2">
        <v>125.9</v>
      </c>
      <c r="Z35" s="2">
        <v>113.9</v>
      </c>
      <c r="AA35" s="2">
        <v>117.9</v>
      </c>
      <c r="AB35" s="2">
        <v>126.1</v>
      </c>
      <c r="AC35" s="2">
        <v>10</v>
      </c>
      <c r="AD35" s="9">
        <v>42278</v>
      </c>
    </row>
    <row r="36" spans="1:30" hidden="1" x14ac:dyDescent="0.35">
      <c r="A36" s="5" t="s">
        <v>34</v>
      </c>
      <c r="B36" s="3">
        <v>125.4</v>
      </c>
      <c r="C36" s="3">
        <v>130.30000000000001</v>
      </c>
      <c r="D36" s="3">
        <v>121.6</v>
      </c>
      <c r="E36" s="3">
        <v>129.19999999999999</v>
      </c>
      <c r="F36" s="3">
        <v>114.9</v>
      </c>
      <c r="G36" s="3">
        <v>128.19999999999999</v>
      </c>
      <c r="H36" s="3">
        <v>158.4</v>
      </c>
      <c r="I36" s="3">
        <v>171.2</v>
      </c>
      <c r="J36" s="3">
        <v>93.3</v>
      </c>
      <c r="K36" s="3">
        <v>131.19999999999999</v>
      </c>
      <c r="L36" s="3">
        <v>121.7</v>
      </c>
      <c r="M36" s="15">
        <v>134</v>
      </c>
      <c r="N36" s="3">
        <v>132.69999999999999</v>
      </c>
      <c r="O36" s="3">
        <v>133.6</v>
      </c>
      <c r="P36" s="3">
        <v>129.30000000000001</v>
      </c>
      <c r="Q36" s="3">
        <v>124.5</v>
      </c>
      <c r="R36" s="3">
        <v>128.6</v>
      </c>
      <c r="S36" s="3">
        <v>122.9</v>
      </c>
      <c r="T36" s="3">
        <v>121.6</v>
      </c>
      <c r="U36" s="3">
        <v>123.4</v>
      </c>
      <c r="V36" s="3">
        <v>120.9</v>
      </c>
      <c r="W36" s="3">
        <v>111.5</v>
      </c>
      <c r="X36" s="3">
        <v>119.2</v>
      </c>
      <c r="Y36" s="3">
        <v>126.3</v>
      </c>
      <c r="Z36" s="3">
        <v>113.8</v>
      </c>
      <c r="AA36" s="3">
        <v>118.1</v>
      </c>
      <c r="AB36" s="3">
        <v>126.6</v>
      </c>
      <c r="AC36" s="3">
        <v>11</v>
      </c>
      <c r="AD36" s="8">
        <v>42309</v>
      </c>
    </row>
    <row r="37" spans="1:30" hidden="1" x14ac:dyDescent="0.35">
      <c r="A37" s="4" t="s">
        <v>34</v>
      </c>
      <c r="B37" s="2">
        <v>125.7</v>
      </c>
      <c r="C37" s="2">
        <v>131.4</v>
      </c>
      <c r="D37" s="2">
        <v>124.8</v>
      </c>
      <c r="E37" s="2">
        <v>129.4</v>
      </c>
      <c r="F37" s="2">
        <v>115.3</v>
      </c>
      <c r="G37" s="2">
        <v>126.6</v>
      </c>
      <c r="H37" s="2">
        <v>146.69999999999999</v>
      </c>
      <c r="I37" s="2">
        <v>171.5</v>
      </c>
      <c r="J37" s="2">
        <v>94.5</v>
      </c>
      <c r="K37" s="2">
        <v>132.1</v>
      </c>
      <c r="L37" s="2">
        <v>122</v>
      </c>
      <c r="M37" s="16">
        <v>134.69999999999999</v>
      </c>
      <c r="N37" s="2">
        <v>131.4</v>
      </c>
      <c r="O37" s="2">
        <v>134.5</v>
      </c>
      <c r="P37" s="2">
        <v>129.69999999999999</v>
      </c>
      <c r="Q37" s="2">
        <v>124.8</v>
      </c>
      <c r="R37" s="2">
        <v>129</v>
      </c>
      <c r="S37" s="2">
        <v>122.4</v>
      </c>
      <c r="T37" s="2">
        <v>122</v>
      </c>
      <c r="U37" s="2">
        <v>123.6</v>
      </c>
      <c r="V37" s="2">
        <v>121.4</v>
      </c>
      <c r="W37" s="2">
        <v>111.5</v>
      </c>
      <c r="X37" s="2">
        <v>119.6</v>
      </c>
      <c r="Y37" s="2">
        <v>126.2</v>
      </c>
      <c r="Z37" s="2">
        <v>113.7</v>
      </c>
      <c r="AA37" s="2">
        <v>118.3</v>
      </c>
      <c r="AB37" s="2">
        <v>126.1</v>
      </c>
      <c r="AC37" s="2">
        <v>12</v>
      </c>
      <c r="AD37" s="9">
        <v>42339</v>
      </c>
    </row>
    <row r="38" spans="1:30" hidden="1" x14ac:dyDescent="0.35">
      <c r="A38" s="5" t="s">
        <v>34</v>
      </c>
      <c r="B38" s="3">
        <v>126.1</v>
      </c>
      <c r="C38" s="3">
        <v>134.1</v>
      </c>
      <c r="D38" s="3">
        <v>128.6</v>
      </c>
      <c r="E38" s="3">
        <v>129.9</v>
      </c>
      <c r="F38" s="3">
        <v>115.5</v>
      </c>
      <c r="G38" s="3">
        <v>125.7</v>
      </c>
      <c r="H38" s="3">
        <v>141.5</v>
      </c>
      <c r="I38" s="3">
        <v>170.7</v>
      </c>
      <c r="J38" s="3">
        <v>97.4</v>
      </c>
      <c r="K38" s="3">
        <v>132.9</v>
      </c>
      <c r="L38" s="3">
        <v>122.7</v>
      </c>
      <c r="M38" s="15">
        <v>135.30000000000001</v>
      </c>
      <c r="N38" s="3">
        <v>131.30000000000001</v>
      </c>
      <c r="O38" s="3">
        <v>135.19999999999999</v>
      </c>
      <c r="P38" s="3">
        <v>130.30000000000001</v>
      </c>
      <c r="Q38" s="3">
        <v>125.1</v>
      </c>
      <c r="R38" s="3">
        <v>129.5</v>
      </c>
      <c r="S38" s="3">
        <v>123.4</v>
      </c>
      <c r="T38" s="3">
        <v>122.7</v>
      </c>
      <c r="U38" s="3">
        <v>124.2</v>
      </c>
      <c r="V38" s="3">
        <v>122</v>
      </c>
      <c r="W38" s="3">
        <v>111.1</v>
      </c>
      <c r="X38" s="3">
        <v>119.8</v>
      </c>
      <c r="Y38" s="3">
        <v>126.3</v>
      </c>
      <c r="Z38" s="3">
        <v>114.5</v>
      </c>
      <c r="AA38" s="3">
        <v>118.5</v>
      </c>
      <c r="AB38" s="3">
        <v>126.3</v>
      </c>
      <c r="AC38" s="3">
        <v>1</v>
      </c>
      <c r="AD38" s="8">
        <v>42370</v>
      </c>
    </row>
    <row r="39" spans="1:30" hidden="1" x14ac:dyDescent="0.35">
      <c r="A39" s="4" t="s">
        <v>34</v>
      </c>
      <c r="B39" s="2">
        <v>126.4</v>
      </c>
      <c r="C39" s="2">
        <v>134.19999999999999</v>
      </c>
      <c r="D39" s="2">
        <v>128.69999999999999</v>
      </c>
      <c r="E39" s="2">
        <v>130.30000000000001</v>
      </c>
      <c r="F39" s="2">
        <v>114.8</v>
      </c>
      <c r="G39" s="2">
        <v>124.9</v>
      </c>
      <c r="H39" s="2">
        <v>130.30000000000001</v>
      </c>
      <c r="I39" s="2">
        <v>167.4</v>
      </c>
      <c r="J39" s="2">
        <v>98.8</v>
      </c>
      <c r="K39" s="2">
        <v>133.6</v>
      </c>
      <c r="L39" s="2">
        <v>123</v>
      </c>
      <c r="M39" s="16">
        <v>135.80000000000001</v>
      </c>
      <c r="N39" s="2">
        <v>129.9</v>
      </c>
      <c r="O39" s="2">
        <v>135.9</v>
      </c>
      <c r="P39" s="2">
        <v>130.9</v>
      </c>
      <c r="Q39" s="2">
        <v>125.8</v>
      </c>
      <c r="R39" s="2">
        <v>130.19999999999999</v>
      </c>
      <c r="S39" s="2">
        <v>124.4</v>
      </c>
      <c r="T39" s="2">
        <v>123.1</v>
      </c>
      <c r="U39" s="2">
        <v>124.6</v>
      </c>
      <c r="V39" s="2">
        <v>122.5</v>
      </c>
      <c r="W39" s="2">
        <v>111.4</v>
      </c>
      <c r="X39" s="2">
        <v>120.3</v>
      </c>
      <c r="Y39" s="2">
        <v>126.6</v>
      </c>
      <c r="Z39" s="2">
        <v>116.6</v>
      </c>
      <c r="AA39" s="2">
        <v>119.1</v>
      </c>
      <c r="AB39" s="2">
        <v>126</v>
      </c>
      <c r="AC39" s="2">
        <v>2</v>
      </c>
      <c r="AD39" s="9">
        <v>42401</v>
      </c>
    </row>
    <row r="40" spans="1:30" hidden="1" x14ac:dyDescent="0.35">
      <c r="A40" s="5" t="s">
        <v>34</v>
      </c>
      <c r="B40" s="3">
        <v>126.5</v>
      </c>
      <c r="C40" s="3">
        <v>135.1</v>
      </c>
      <c r="D40" s="3">
        <v>124.6</v>
      </c>
      <c r="E40" s="3">
        <v>130.19999999999999</v>
      </c>
      <c r="F40" s="3">
        <v>114.5</v>
      </c>
      <c r="G40" s="3">
        <v>126.2</v>
      </c>
      <c r="H40" s="3">
        <v>129.80000000000001</v>
      </c>
      <c r="I40" s="3">
        <v>164.3</v>
      </c>
      <c r="J40" s="3">
        <v>100.9</v>
      </c>
      <c r="K40" s="3">
        <v>133.9</v>
      </c>
      <c r="L40" s="3">
        <v>123.1</v>
      </c>
      <c r="M40" s="15">
        <v>136.30000000000001</v>
      </c>
      <c r="N40" s="3">
        <v>129.80000000000001</v>
      </c>
      <c r="O40" s="3">
        <v>136.5</v>
      </c>
      <c r="P40" s="3">
        <v>131.30000000000001</v>
      </c>
      <c r="Q40" s="3">
        <v>126.1</v>
      </c>
      <c r="R40" s="3">
        <v>130.5</v>
      </c>
      <c r="S40" s="3">
        <v>124.9</v>
      </c>
      <c r="T40" s="3">
        <v>122.4</v>
      </c>
      <c r="U40" s="3">
        <v>125.1</v>
      </c>
      <c r="V40" s="3">
        <v>122.9</v>
      </c>
      <c r="W40" s="3">
        <v>110.9</v>
      </c>
      <c r="X40" s="3">
        <v>120.6</v>
      </c>
      <c r="Y40" s="3">
        <v>126.9</v>
      </c>
      <c r="Z40" s="3">
        <v>117.3</v>
      </c>
      <c r="AA40" s="3">
        <v>119.3</v>
      </c>
      <c r="AB40" s="3">
        <v>126</v>
      </c>
      <c r="AC40" s="3">
        <v>3</v>
      </c>
      <c r="AD40" s="8">
        <v>42430</v>
      </c>
    </row>
    <row r="41" spans="1:30" hidden="1" x14ac:dyDescent="0.35">
      <c r="A41" s="4" t="s">
        <v>34</v>
      </c>
      <c r="B41" s="2">
        <v>126.6</v>
      </c>
      <c r="C41" s="2">
        <v>136.80000000000001</v>
      </c>
      <c r="D41" s="2">
        <v>122</v>
      </c>
      <c r="E41" s="2">
        <v>130.9</v>
      </c>
      <c r="F41" s="2">
        <v>114.8</v>
      </c>
      <c r="G41" s="2">
        <v>134.80000000000001</v>
      </c>
      <c r="H41" s="2">
        <v>135</v>
      </c>
      <c r="I41" s="2">
        <v>167.5</v>
      </c>
      <c r="J41" s="2">
        <v>106.4</v>
      </c>
      <c r="K41" s="2">
        <v>134.4</v>
      </c>
      <c r="L41" s="2">
        <v>123.6</v>
      </c>
      <c r="M41" s="16">
        <v>136.69999999999999</v>
      </c>
      <c r="N41" s="2">
        <v>131.80000000000001</v>
      </c>
      <c r="O41" s="2">
        <v>137.1</v>
      </c>
      <c r="P41" s="2">
        <v>131.80000000000001</v>
      </c>
      <c r="Q41" s="2">
        <v>126.4</v>
      </c>
      <c r="R41" s="2">
        <v>131</v>
      </c>
      <c r="S41" s="2">
        <v>125.6</v>
      </c>
      <c r="T41" s="2">
        <v>122.3</v>
      </c>
      <c r="U41" s="2">
        <v>125.5</v>
      </c>
      <c r="V41" s="2">
        <v>123.2</v>
      </c>
      <c r="W41" s="2">
        <v>112.1</v>
      </c>
      <c r="X41" s="2">
        <v>121.1</v>
      </c>
      <c r="Y41" s="2">
        <v>127.7</v>
      </c>
      <c r="Z41" s="2">
        <v>118.1</v>
      </c>
      <c r="AA41" s="2">
        <v>120</v>
      </c>
      <c r="AB41" s="2">
        <v>127.3</v>
      </c>
      <c r="AC41" s="2">
        <v>4</v>
      </c>
      <c r="AD41" s="9">
        <v>42461</v>
      </c>
    </row>
    <row r="42" spans="1:30" hidden="1" x14ac:dyDescent="0.35">
      <c r="A42" s="5" t="s">
        <v>34</v>
      </c>
      <c r="B42" s="3">
        <v>126.8</v>
      </c>
      <c r="C42" s="3">
        <v>139.1</v>
      </c>
      <c r="D42" s="3">
        <v>125.4</v>
      </c>
      <c r="E42" s="3">
        <v>131.69999999999999</v>
      </c>
      <c r="F42" s="3">
        <v>115</v>
      </c>
      <c r="G42" s="3">
        <v>136</v>
      </c>
      <c r="H42" s="3">
        <v>145.1</v>
      </c>
      <c r="I42" s="3">
        <v>171.7</v>
      </c>
      <c r="J42" s="3">
        <v>108.7</v>
      </c>
      <c r="K42" s="3">
        <v>135.30000000000001</v>
      </c>
      <c r="L42" s="3">
        <v>124.2</v>
      </c>
      <c r="M42" s="15">
        <v>137.4</v>
      </c>
      <c r="N42" s="3">
        <v>134</v>
      </c>
      <c r="O42" s="3">
        <v>137.69999999999999</v>
      </c>
      <c r="P42" s="3">
        <v>132.19999999999999</v>
      </c>
      <c r="Q42" s="3">
        <v>126.8</v>
      </c>
      <c r="R42" s="3">
        <v>131.4</v>
      </c>
      <c r="S42" s="3">
        <v>126</v>
      </c>
      <c r="T42" s="3">
        <v>122.7</v>
      </c>
      <c r="U42" s="3">
        <v>126</v>
      </c>
      <c r="V42" s="3">
        <v>123.7</v>
      </c>
      <c r="W42" s="3">
        <v>112.8</v>
      </c>
      <c r="X42" s="3">
        <v>121.5</v>
      </c>
      <c r="Y42" s="3">
        <v>128.5</v>
      </c>
      <c r="Z42" s="3">
        <v>119.2</v>
      </c>
      <c r="AA42" s="3">
        <v>120.7</v>
      </c>
      <c r="AB42" s="3">
        <v>128.6</v>
      </c>
      <c r="AC42" s="3">
        <v>5</v>
      </c>
      <c r="AD42" s="8">
        <v>42491</v>
      </c>
    </row>
    <row r="43" spans="1:30" hidden="1" x14ac:dyDescent="0.35">
      <c r="A43" s="4" t="s">
        <v>34</v>
      </c>
      <c r="B43" s="2">
        <v>127.7</v>
      </c>
      <c r="C43" s="2">
        <v>140.5</v>
      </c>
      <c r="D43" s="2">
        <v>128.30000000000001</v>
      </c>
      <c r="E43" s="2">
        <v>132.6</v>
      </c>
      <c r="F43" s="2">
        <v>115.5</v>
      </c>
      <c r="G43" s="2">
        <v>136.5</v>
      </c>
      <c r="H43" s="2">
        <v>159.69999999999999</v>
      </c>
      <c r="I43" s="2">
        <v>174.3</v>
      </c>
      <c r="J43" s="2">
        <v>109.9</v>
      </c>
      <c r="K43" s="2">
        <v>136.30000000000001</v>
      </c>
      <c r="L43" s="2">
        <v>124.4</v>
      </c>
      <c r="M43" s="16">
        <v>138.1</v>
      </c>
      <c r="N43" s="2">
        <v>136.80000000000001</v>
      </c>
      <c r="O43" s="2">
        <v>138.69999999999999</v>
      </c>
      <c r="P43" s="2">
        <v>132.9</v>
      </c>
      <c r="Q43" s="2">
        <v>127.2</v>
      </c>
      <c r="R43" s="2">
        <v>132</v>
      </c>
      <c r="S43" s="2">
        <v>125.5</v>
      </c>
      <c r="T43" s="2">
        <v>123.3</v>
      </c>
      <c r="U43" s="2">
        <v>126.4</v>
      </c>
      <c r="V43" s="2">
        <v>124.1</v>
      </c>
      <c r="W43" s="2">
        <v>114.2</v>
      </c>
      <c r="X43" s="2">
        <v>121.7</v>
      </c>
      <c r="Y43" s="2">
        <v>129.69999999999999</v>
      </c>
      <c r="Z43" s="2">
        <v>119.4</v>
      </c>
      <c r="AA43" s="2">
        <v>121.5</v>
      </c>
      <c r="AB43" s="2">
        <v>130.1</v>
      </c>
      <c r="AC43" s="2">
        <v>6</v>
      </c>
      <c r="AD43" s="9">
        <v>42522</v>
      </c>
    </row>
    <row r="44" spans="1:30" hidden="1" x14ac:dyDescent="0.35">
      <c r="A44" s="5" t="s">
        <v>34</v>
      </c>
      <c r="B44" s="3">
        <v>128.5</v>
      </c>
      <c r="C44" s="3">
        <v>141.19999999999999</v>
      </c>
      <c r="D44" s="3">
        <v>132.30000000000001</v>
      </c>
      <c r="E44" s="3">
        <v>133.5</v>
      </c>
      <c r="F44" s="3">
        <v>116.4</v>
      </c>
      <c r="G44" s="3">
        <v>137.80000000000001</v>
      </c>
      <c r="H44" s="3">
        <v>165.4</v>
      </c>
      <c r="I44" s="3">
        <v>177.4</v>
      </c>
      <c r="J44" s="3">
        <v>111.3</v>
      </c>
      <c r="K44" s="3">
        <v>137.5</v>
      </c>
      <c r="L44" s="3">
        <v>125</v>
      </c>
      <c r="M44" s="15">
        <v>138.80000000000001</v>
      </c>
      <c r="N44" s="3">
        <v>138.4</v>
      </c>
      <c r="O44" s="3">
        <v>139.30000000000001</v>
      </c>
      <c r="P44" s="3">
        <v>133.5</v>
      </c>
      <c r="Q44" s="3">
        <v>127.6</v>
      </c>
      <c r="R44" s="3">
        <v>132.69999999999999</v>
      </c>
      <c r="S44" s="3">
        <v>126.4</v>
      </c>
      <c r="T44" s="3">
        <v>123.4</v>
      </c>
      <c r="U44" s="3">
        <v>126.9</v>
      </c>
      <c r="V44" s="3">
        <v>124.5</v>
      </c>
      <c r="W44" s="3">
        <v>113.9</v>
      </c>
      <c r="X44" s="3">
        <v>122.4</v>
      </c>
      <c r="Y44" s="3">
        <v>130.80000000000001</v>
      </c>
      <c r="Z44" s="3">
        <v>120.5</v>
      </c>
      <c r="AA44" s="3">
        <v>121.9</v>
      </c>
      <c r="AB44" s="3">
        <v>131.1</v>
      </c>
      <c r="AC44" s="3">
        <v>7</v>
      </c>
      <c r="AD44" s="8">
        <v>42552</v>
      </c>
    </row>
    <row r="45" spans="1:30" hidden="1" x14ac:dyDescent="0.35">
      <c r="A45" s="4" t="s">
        <v>34</v>
      </c>
      <c r="B45" s="2">
        <v>129.30000000000001</v>
      </c>
      <c r="C45" s="2">
        <v>139.30000000000001</v>
      </c>
      <c r="D45" s="2">
        <v>131.6</v>
      </c>
      <c r="E45" s="2">
        <v>134.1</v>
      </c>
      <c r="F45" s="2">
        <v>116.9</v>
      </c>
      <c r="G45" s="2">
        <v>138.1</v>
      </c>
      <c r="H45" s="2">
        <v>159.1</v>
      </c>
      <c r="I45" s="2">
        <v>175.6</v>
      </c>
      <c r="J45" s="2">
        <v>112.9</v>
      </c>
      <c r="K45" s="2">
        <v>138.1</v>
      </c>
      <c r="L45" s="2">
        <v>125.5</v>
      </c>
      <c r="M45" s="16">
        <v>139.5</v>
      </c>
      <c r="N45" s="2">
        <v>137.9</v>
      </c>
      <c r="O45" s="2">
        <v>140.19999999999999</v>
      </c>
      <c r="P45" s="2">
        <v>134.1</v>
      </c>
      <c r="Q45" s="2">
        <v>128.19999999999999</v>
      </c>
      <c r="R45" s="2">
        <v>133.19999999999999</v>
      </c>
      <c r="S45" s="2">
        <v>127.3</v>
      </c>
      <c r="T45" s="2">
        <v>123.6</v>
      </c>
      <c r="U45" s="2">
        <v>127.4</v>
      </c>
      <c r="V45" s="2">
        <v>124.8</v>
      </c>
      <c r="W45" s="2">
        <v>113.1</v>
      </c>
      <c r="X45" s="2">
        <v>122.7</v>
      </c>
      <c r="Y45" s="2">
        <v>131.69999999999999</v>
      </c>
      <c r="Z45" s="2">
        <v>121.5</v>
      </c>
      <c r="AA45" s="2">
        <v>122.1</v>
      </c>
      <c r="AB45" s="2">
        <v>131.1</v>
      </c>
      <c r="AC45" s="2">
        <v>8</v>
      </c>
      <c r="AD45" s="9">
        <v>42583</v>
      </c>
    </row>
    <row r="46" spans="1:30" hidden="1" x14ac:dyDescent="0.35">
      <c r="A46" s="5" t="s">
        <v>34</v>
      </c>
      <c r="B46" s="3">
        <v>129.9</v>
      </c>
      <c r="C46" s="3">
        <v>138</v>
      </c>
      <c r="D46" s="3">
        <v>130.5</v>
      </c>
      <c r="E46" s="3">
        <v>134.4</v>
      </c>
      <c r="F46" s="3">
        <v>117.2</v>
      </c>
      <c r="G46" s="3">
        <v>136.1</v>
      </c>
      <c r="H46" s="3">
        <v>150.69999999999999</v>
      </c>
      <c r="I46" s="3">
        <v>171.5</v>
      </c>
      <c r="J46" s="3">
        <v>113.8</v>
      </c>
      <c r="K46" s="3">
        <v>138.80000000000001</v>
      </c>
      <c r="L46" s="3">
        <v>126</v>
      </c>
      <c r="M46" s="15">
        <v>140.19999999999999</v>
      </c>
      <c r="N46" s="3">
        <v>136.6</v>
      </c>
      <c r="O46" s="3">
        <v>141</v>
      </c>
      <c r="P46" s="3">
        <v>134.6</v>
      </c>
      <c r="Q46" s="3">
        <v>128.6</v>
      </c>
      <c r="R46" s="3">
        <v>133.80000000000001</v>
      </c>
      <c r="S46" s="3">
        <v>127.9</v>
      </c>
      <c r="T46" s="3">
        <v>124.1</v>
      </c>
      <c r="U46" s="3">
        <v>127.9</v>
      </c>
      <c r="V46" s="3">
        <v>125.4</v>
      </c>
      <c r="W46" s="3">
        <v>114.3</v>
      </c>
      <c r="X46" s="3">
        <v>122.9</v>
      </c>
      <c r="Y46" s="3">
        <v>131.80000000000001</v>
      </c>
      <c r="Z46" s="3">
        <v>122.1</v>
      </c>
      <c r="AA46" s="3">
        <v>122.8</v>
      </c>
      <c r="AB46" s="3">
        <v>130.9</v>
      </c>
      <c r="AC46" s="3">
        <v>9</v>
      </c>
      <c r="AD46" s="8">
        <v>42614</v>
      </c>
    </row>
    <row r="47" spans="1:30" hidden="1" x14ac:dyDescent="0.35">
      <c r="A47" s="4" t="s">
        <v>34</v>
      </c>
      <c r="B47" s="2">
        <v>130.5</v>
      </c>
      <c r="C47" s="2">
        <v>137.9</v>
      </c>
      <c r="D47" s="2">
        <v>130.19999999999999</v>
      </c>
      <c r="E47" s="2">
        <v>134.80000000000001</v>
      </c>
      <c r="F47" s="2">
        <v>117.8</v>
      </c>
      <c r="G47" s="2">
        <v>134.69999999999999</v>
      </c>
      <c r="H47" s="2">
        <v>151.19999999999999</v>
      </c>
      <c r="I47" s="2">
        <v>172.1</v>
      </c>
      <c r="J47" s="2">
        <v>114.1</v>
      </c>
      <c r="K47" s="2">
        <v>139.30000000000001</v>
      </c>
      <c r="L47" s="2">
        <v>126.1</v>
      </c>
      <c r="M47" s="16">
        <v>141.1</v>
      </c>
      <c r="N47" s="2">
        <v>137</v>
      </c>
      <c r="O47" s="2">
        <v>141.80000000000001</v>
      </c>
      <c r="P47" s="2">
        <v>135.5</v>
      </c>
      <c r="Q47" s="2">
        <v>129.1</v>
      </c>
      <c r="R47" s="2">
        <v>134.5</v>
      </c>
      <c r="S47" s="2">
        <v>128.69999999999999</v>
      </c>
      <c r="T47" s="2">
        <v>124.3</v>
      </c>
      <c r="U47" s="2">
        <v>128.4</v>
      </c>
      <c r="V47" s="2">
        <v>126.1</v>
      </c>
      <c r="W47" s="2">
        <v>115.2</v>
      </c>
      <c r="X47" s="2">
        <v>123.5</v>
      </c>
      <c r="Y47" s="2">
        <v>132.4</v>
      </c>
      <c r="Z47" s="2">
        <v>122.1</v>
      </c>
      <c r="AA47" s="2">
        <v>123.4</v>
      </c>
      <c r="AB47" s="2">
        <v>131.4</v>
      </c>
      <c r="AC47" s="2">
        <v>10</v>
      </c>
      <c r="AD47" s="9">
        <v>42644</v>
      </c>
    </row>
    <row r="48" spans="1:30" hidden="1" x14ac:dyDescent="0.35">
      <c r="A48" s="5" t="s">
        <v>34</v>
      </c>
      <c r="B48" s="3">
        <v>131.4</v>
      </c>
      <c r="C48" s="3">
        <v>137.80000000000001</v>
      </c>
      <c r="D48" s="3">
        <v>132</v>
      </c>
      <c r="E48" s="3">
        <v>135</v>
      </c>
      <c r="F48" s="3">
        <v>118</v>
      </c>
      <c r="G48" s="3">
        <v>134.1</v>
      </c>
      <c r="H48" s="3">
        <v>141.9</v>
      </c>
      <c r="I48" s="3">
        <v>171.7</v>
      </c>
      <c r="J48" s="3">
        <v>114.1</v>
      </c>
      <c r="K48" s="3">
        <v>139.69999999999999</v>
      </c>
      <c r="L48" s="3">
        <v>126.2</v>
      </c>
      <c r="M48" s="15">
        <v>141.80000000000001</v>
      </c>
      <c r="N48" s="3">
        <v>136.1</v>
      </c>
      <c r="O48" s="3">
        <v>142</v>
      </c>
      <c r="P48" s="3">
        <v>135.80000000000001</v>
      </c>
      <c r="Q48" s="3">
        <v>129.30000000000001</v>
      </c>
      <c r="R48" s="3">
        <v>135</v>
      </c>
      <c r="S48" s="3">
        <v>129.1</v>
      </c>
      <c r="T48" s="3">
        <v>125</v>
      </c>
      <c r="U48" s="3">
        <v>128.6</v>
      </c>
      <c r="V48" s="3">
        <v>126.4</v>
      </c>
      <c r="W48" s="3">
        <v>115.7</v>
      </c>
      <c r="X48" s="3">
        <v>124</v>
      </c>
      <c r="Y48" s="3">
        <v>132.80000000000001</v>
      </c>
      <c r="Z48" s="3">
        <v>122.6</v>
      </c>
      <c r="AA48" s="3">
        <v>123.8</v>
      </c>
      <c r="AB48" s="3">
        <v>131.19999999999999</v>
      </c>
      <c r="AC48" s="3">
        <v>11</v>
      </c>
      <c r="AD48" s="8">
        <v>42675</v>
      </c>
    </row>
    <row r="49" spans="1:30" hidden="1" x14ac:dyDescent="0.35">
      <c r="A49" s="4" t="s">
        <v>34</v>
      </c>
      <c r="B49" s="2">
        <v>132.30000000000001</v>
      </c>
      <c r="C49" s="2">
        <v>137.6</v>
      </c>
      <c r="D49" s="2">
        <v>132.9</v>
      </c>
      <c r="E49" s="2">
        <v>135.1</v>
      </c>
      <c r="F49" s="2">
        <v>118.6</v>
      </c>
      <c r="G49" s="2">
        <v>132.69999999999999</v>
      </c>
      <c r="H49" s="2">
        <v>125.3</v>
      </c>
      <c r="I49" s="2">
        <v>168.7</v>
      </c>
      <c r="J49" s="2">
        <v>114.4</v>
      </c>
      <c r="K49" s="2">
        <v>140.19999999999999</v>
      </c>
      <c r="L49" s="2">
        <v>126.6</v>
      </c>
      <c r="M49" s="16">
        <v>142.30000000000001</v>
      </c>
      <c r="N49" s="2">
        <v>134</v>
      </c>
      <c r="O49" s="2">
        <v>143.1</v>
      </c>
      <c r="P49" s="2">
        <v>136.30000000000001</v>
      </c>
      <c r="Q49" s="2">
        <v>129.80000000000001</v>
      </c>
      <c r="R49" s="2">
        <v>135.4</v>
      </c>
      <c r="S49" s="2">
        <v>128.5</v>
      </c>
      <c r="T49" s="2">
        <v>126.6</v>
      </c>
      <c r="U49" s="2">
        <v>129.19999999999999</v>
      </c>
      <c r="V49" s="2">
        <v>126.9</v>
      </c>
      <c r="W49" s="2">
        <v>116</v>
      </c>
      <c r="X49" s="2">
        <v>124.2</v>
      </c>
      <c r="Y49" s="2">
        <v>133.1</v>
      </c>
      <c r="Z49" s="2">
        <v>121.1</v>
      </c>
      <c r="AA49" s="2">
        <v>123.9</v>
      </c>
      <c r="AB49" s="2">
        <v>130.4</v>
      </c>
      <c r="AC49" s="2">
        <v>12</v>
      </c>
      <c r="AD49" s="9">
        <v>42705</v>
      </c>
    </row>
    <row r="50" spans="1:30" hidden="1" x14ac:dyDescent="0.35">
      <c r="A50" s="5" t="s">
        <v>34</v>
      </c>
      <c r="B50" s="3">
        <v>132.80000000000001</v>
      </c>
      <c r="C50" s="3">
        <v>138.19999999999999</v>
      </c>
      <c r="D50" s="3">
        <v>132.19999999999999</v>
      </c>
      <c r="E50" s="3">
        <v>135.4</v>
      </c>
      <c r="F50" s="3">
        <v>119.1</v>
      </c>
      <c r="G50" s="3">
        <v>133</v>
      </c>
      <c r="H50" s="3">
        <v>119.4</v>
      </c>
      <c r="I50" s="3">
        <v>159.5</v>
      </c>
      <c r="J50" s="3">
        <v>115.6</v>
      </c>
      <c r="K50" s="3">
        <v>139.6</v>
      </c>
      <c r="L50" s="3">
        <v>126.6</v>
      </c>
      <c r="M50" s="15">
        <v>142.80000000000001</v>
      </c>
      <c r="N50" s="3">
        <v>133.1</v>
      </c>
      <c r="O50" s="3">
        <v>143.80000000000001</v>
      </c>
      <c r="P50" s="3">
        <v>136.6</v>
      </c>
      <c r="Q50" s="3">
        <v>130.19999999999999</v>
      </c>
      <c r="R50" s="3">
        <v>135.6</v>
      </c>
      <c r="S50" s="3">
        <v>129.6</v>
      </c>
      <c r="T50" s="3">
        <v>126.8</v>
      </c>
      <c r="U50" s="3">
        <v>129.4</v>
      </c>
      <c r="V50" s="3">
        <v>127.1</v>
      </c>
      <c r="W50" s="3">
        <v>117</v>
      </c>
      <c r="X50" s="3">
        <v>124.2</v>
      </c>
      <c r="Y50" s="3">
        <v>133.30000000000001</v>
      </c>
      <c r="Z50" s="3">
        <v>121.7</v>
      </c>
      <c r="AA50" s="3">
        <v>124.4</v>
      </c>
      <c r="AB50" s="3">
        <v>130.30000000000001</v>
      </c>
      <c r="AC50" s="3">
        <v>1</v>
      </c>
      <c r="AD50" s="8">
        <v>42736</v>
      </c>
    </row>
    <row r="51" spans="1:30" hidden="1" x14ac:dyDescent="0.35">
      <c r="A51" s="4" t="s">
        <v>34</v>
      </c>
      <c r="B51" s="2">
        <v>133.1</v>
      </c>
      <c r="C51" s="2">
        <v>138.80000000000001</v>
      </c>
      <c r="D51" s="2">
        <v>129.30000000000001</v>
      </c>
      <c r="E51" s="2">
        <v>135.80000000000001</v>
      </c>
      <c r="F51" s="2">
        <v>119.2</v>
      </c>
      <c r="G51" s="2">
        <v>135.30000000000001</v>
      </c>
      <c r="H51" s="2">
        <v>119.5</v>
      </c>
      <c r="I51" s="2">
        <v>152.19999999999999</v>
      </c>
      <c r="J51" s="2">
        <v>117.3</v>
      </c>
      <c r="K51" s="2">
        <v>138.69999999999999</v>
      </c>
      <c r="L51" s="2">
        <v>126.9</v>
      </c>
      <c r="M51" s="16">
        <v>143.19999999999999</v>
      </c>
      <c r="N51" s="2">
        <v>133</v>
      </c>
      <c r="O51" s="2">
        <v>144.4</v>
      </c>
      <c r="P51" s="2">
        <v>136.80000000000001</v>
      </c>
      <c r="Q51" s="2">
        <v>130.30000000000001</v>
      </c>
      <c r="R51" s="2">
        <v>135.9</v>
      </c>
      <c r="S51" s="2">
        <v>130.5</v>
      </c>
      <c r="T51" s="2">
        <v>127.9</v>
      </c>
      <c r="U51" s="2">
        <v>129.69999999999999</v>
      </c>
      <c r="V51" s="2">
        <v>127.4</v>
      </c>
      <c r="W51" s="2">
        <v>117.4</v>
      </c>
      <c r="X51" s="2">
        <v>124.6</v>
      </c>
      <c r="Y51" s="2">
        <v>133.4</v>
      </c>
      <c r="Z51" s="2">
        <v>122.6</v>
      </c>
      <c r="AA51" s="2">
        <v>124.8</v>
      </c>
      <c r="AB51" s="2">
        <v>130.6</v>
      </c>
      <c r="AC51" s="2">
        <v>2</v>
      </c>
      <c r="AD51" s="9">
        <v>42767</v>
      </c>
    </row>
    <row r="52" spans="1:30" hidden="1" x14ac:dyDescent="0.35">
      <c r="A52" s="5" t="s">
        <v>34</v>
      </c>
      <c r="B52" s="3">
        <v>133.30000000000001</v>
      </c>
      <c r="C52" s="3">
        <v>139</v>
      </c>
      <c r="D52" s="3">
        <v>128.6</v>
      </c>
      <c r="E52" s="3">
        <v>136.30000000000001</v>
      </c>
      <c r="F52" s="3">
        <v>118.8</v>
      </c>
      <c r="G52" s="3">
        <v>138.30000000000001</v>
      </c>
      <c r="H52" s="3">
        <v>120.5</v>
      </c>
      <c r="I52" s="3">
        <v>143.9</v>
      </c>
      <c r="J52" s="3">
        <v>118</v>
      </c>
      <c r="K52" s="3">
        <v>137.9</v>
      </c>
      <c r="L52" s="3">
        <v>127.2</v>
      </c>
      <c r="M52" s="15">
        <v>144</v>
      </c>
      <c r="N52" s="3">
        <v>133.1</v>
      </c>
      <c r="O52" s="3">
        <v>145.1</v>
      </c>
      <c r="P52" s="3">
        <v>137.30000000000001</v>
      </c>
      <c r="Q52" s="3">
        <v>130.6</v>
      </c>
      <c r="R52" s="3">
        <v>136.4</v>
      </c>
      <c r="S52" s="3">
        <v>131.1</v>
      </c>
      <c r="T52" s="3">
        <v>129.1</v>
      </c>
      <c r="U52" s="3">
        <v>130.1</v>
      </c>
      <c r="V52" s="3">
        <v>127.8</v>
      </c>
      <c r="W52" s="3">
        <v>117.6</v>
      </c>
      <c r="X52" s="3">
        <v>125</v>
      </c>
      <c r="Y52" s="3">
        <v>133.80000000000001</v>
      </c>
      <c r="Z52" s="3">
        <v>122.6</v>
      </c>
      <c r="AA52" s="3">
        <v>125.1</v>
      </c>
      <c r="AB52" s="3">
        <v>130.9</v>
      </c>
      <c r="AC52" s="3">
        <v>3</v>
      </c>
      <c r="AD52" s="8">
        <v>42795</v>
      </c>
    </row>
    <row r="53" spans="1:30" hidden="1" x14ac:dyDescent="0.35">
      <c r="A53" s="4" t="s">
        <v>34</v>
      </c>
      <c r="B53" s="2">
        <v>133</v>
      </c>
      <c r="C53" s="2">
        <v>139.4</v>
      </c>
      <c r="D53" s="2">
        <v>126.1</v>
      </c>
      <c r="E53" s="2">
        <v>137.19999999999999</v>
      </c>
      <c r="F53" s="2">
        <v>118.4</v>
      </c>
      <c r="G53" s="2">
        <v>139.9</v>
      </c>
      <c r="H53" s="2">
        <v>123.4</v>
      </c>
      <c r="I53" s="2">
        <v>140.9</v>
      </c>
      <c r="J53" s="2">
        <v>118.5</v>
      </c>
      <c r="K53" s="2">
        <v>136.5</v>
      </c>
      <c r="L53" s="2">
        <v>127.4</v>
      </c>
      <c r="M53" s="16">
        <v>144.19999999999999</v>
      </c>
      <c r="N53" s="2">
        <v>133.5</v>
      </c>
      <c r="O53" s="2">
        <v>145.4</v>
      </c>
      <c r="P53" s="2">
        <v>138</v>
      </c>
      <c r="Q53" s="2">
        <v>131.1</v>
      </c>
      <c r="R53" s="2">
        <v>137</v>
      </c>
      <c r="S53" s="2">
        <v>131.69999999999999</v>
      </c>
      <c r="T53" s="2">
        <v>129.80000000000001</v>
      </c>
      <c r="U53" s="2">
        <v>130.4</v>
      </c>
      <c r="V53" s="2">
        <v>128.1</v>
      </c>
      <c r="W53" s="2">
        <v>116.6</v>
      </c>
      <c r="X53" s="2">
        <v>125.1</v>
      </c>
      <c r="Y53" s="2">
        <v>134.5</v>
      </c>
      <c r="Z53" s="2">
        <v>123.1</v>
      </c>
      <c r="AA53" s="2">
        <v>125.1</v>
      </c>
      <c r="AB53" s="2">
        <v>131.1</v>
      </c>
      <c r="AC53" s="2">
        <v>4</v>
      </c>
      <c r="AD53" s="9">
        <v>42826</v>
      </c>
    </row>
    <row r="54" spans="1:30" hidden="1" x14ac:dyDescent="0.35">
      <c r="A54" s="5" t="s">
        <v>34</v>
      </c>
      <c r="B54" s="3">
        <v>132.9</v>
      </c>
      <c r="C54" s="3">
        <v>141.6</v>
      </c>
      <c r="D54" s="3">
        <v>126.3</v>
      </c>
      <c r="E54" s="3">
        <v>137.69999999999999</v>
      </c>
      <c r="F54" s="3">
        <v>118.1</v>
      </c>
      <c r="G54" s="3">
        <v>137.9</v>
      </c>
      <c r="H54" s="3">
        <v>125.6</v>
      </c>
      <c r="I54" s="3">
        <v>138.30000000000001</v>
      </c>
      <c r="J54" s="3">
        <v>119.4</v>
      </c>
      <c r="K54" s="3">
        <v>136</v>
      </c>
      <c r="L54" s="3">
        <v>127.6</v>
      </c>
      <c r="M54" s="15">
        <v>144.5</v>
      </c>
      <c r="N54" s="3">
        <v>133.69999999999999</v>
      </c>
      <c r="O54" s="3">
        <v>146.19999999999999</v>
      </c>
      <c r="P54" s="3">
        <v>138.19999999999999</v>
      </c>
      <c r="Q54" s="3">
        <v>131.4</v>
      </c>
      <c r="R54" s="3">
        <v>137.19999999999999</v>
      </c>
      <c r="S54" s="3">
        <v>132.1</v>
      </c>
      <c r="T54" s="3">
        <v>129.4</v>
      </c>
      <c r="U54" s="3">
        <v>130.9</v>
      </c>
      <c r="V54" s="3">
        <v>128.4</v>
      </c>
      <c r="W54" s="3">
        <v>116.7</v>
      </c>
      <c r="X54" s="3">
        <v>125.7</v>
      </c>
      <c r="Y54" s="3">
        <v>134.80000000000001</v>
      </c>
      <c r="Z54" s="3">
        <v>123</v>
      </c>
      <c r="AA54" s="3">
        <v>125.3</v>
      </c>
      <c r="AB54" s="3">
        <v>131.4</v>
      </c>
      <c r="AC54" s="3">
        <v>5</v>
      </c>
      <c r="AD54" s="8">
        <v>42856</v>
      </c>
    </row>
    <row r="55" spans="1:30" hidden="1" x14ac:dyDescent="0.35">
      <c r="A55" s="4" t="s">
        <v>34</v>
      </c>
      <c r="B55" s="2">
        <v>133.30000000000001</v>
      </c>
      <c r="C55" s="2">
        <v>145.5</v>
      </c>
      <c r="D55" s="2">
        <v>128.1</v>
      </c>
      <c r="E55" s="2">
        <v>138.1</v>
      </c>
      <c r="F55" s="2">
        <v>118.2</v>
      </c>
      <c r="G55" s="2">
        <v>139.19999999999999</v>
      </c>
      <c r="H55" s="2">
        <v>133.30000000000001</v>
      </c>
      <c r="I55" s="2">
        <v>136.19999999999999</v>
      </c>
      <c r="J55" s="2">
        <v>119.6</v>
      </c>
      <c r="K55" s="2">
        <v>135.30000000000001</v>
      </c>
      <c r="L55" s="2">
        <v>127.8</v>
      </c>
      <c r="M55" s="16">
        <v>144.9</v>
      </c>
      <c r="N55" s="2">
        <v>135.19999999999999</v>
      </c>
      <c r="O55" s="2">
        <v>146.5</v>
      </c>
      <c r="P55" s="2">
        <v>138.5</v>
      </c>
      <c r="Q55" s="2">
        <v>131.69999999999999</v>
      </c>
      <c r="R55" s="2">
        <v>137.5</v>
      </c>
      <c r="S55" s="2">
        <v>131.4</v>
      </c>
      <c r="T55" s="2">
        <v>128.80000000000001</v>
      </c>
      <c r="U55" s="2">
        <v>131.19999999999999</v>
      </c>
      <c r="V55" s="2">
        <v>128.5</v>
      </c>
      <c r="W55" s="2">
        <v>116.5</v>
      </c>
      <c r="X55" s="2">
        <v>125.9</v>
      </c>
      <c r="Y55" s="2">
        <v>135.4</v>
      </c>
      <c r="Z55" s="2">
        <v>123.4</v>
      </c>
      <c r="AA55" s="2">
        <v>125.5</v>
      </c>
      <c r="AB55" s="2">
        <v>132</v>
      </c>
      <c r="AC55" s="2">
        <v>6</v>
      </c>
      <c r="AD55" s="9">
        <v>42887</v>
      </c>
    </row>
    <row r="56" spans="1:30" hidden="1" x14ac:dyDescent="0.35">
      <c r="A56" s="5" t="s">
        <v>34</v>
      </c>
      <c r="B56" s="3">
        <v>133.6</v>
      </c>
      <c r="C56" s="3">
        <v>145.69999999999999</v>
      </c>
      <c r="D56" s="3">
        <v>129.6</v>
      </c>
      <c r="E56" s="3">
        <v>138.5</v>
      </c>
      <c r="F56" s="3">
        <v>118.1</v>
      </c>
      <c r="G56" s="3">
        <v>141.80000000000001</v>
      </c>
      <c r="H56" s="3">
        <v>159.5</v>
      </c>
      <c r="I56" s="3">
        <v>133.6</v>
      </c>
      <c r="J56" s="3">
        <v>120.5</v>
      </c>
      <c r="K56" s="3">
        <v>135.19999999999999</v>
      </c>
      <c r="L56" s="3">
        <v>128.5</v>
      </c>
      <c r="M56" s="15">
        <v>145.80000000000001</v>
      </c>
      <c r="N56" s="3">
        <v>139</v>
      </c>
      <c r="O56" s="3">
        <v>148.19999999999999</v>
      </c>
      <c r="P56" s="3">
        <v>139.30000000000001</v>
      </c>
      <c r="Q56" s="3">
        <v>132.1</v>
      </c>
      <c r="R56" s="3">
        <v>138.30000000000001</v>
      </c>
      <c r="S56" s="3">
        <v>132.6</v>
      </c>
      <c r="T56" s="3">
        <v>129.4</v>
      </c>
      <c r="U56" s="3">
        <v>131.9</v>
      </c>
      <c r="V56" s="3">
        <v>129.4</v>
      </c>
      <c r="W56" s="3">
        <v>116</v>
      </c>
      <c r="X56" s="3">
        <v>126.6</v>
      </c>
      <c r="Y56" s="3">
        <v>136.80000000000001</v>
      </c>
      <c r="Z56" s="3">
        <v>123.6</v>
      </c>
      <c r="AA56" s="3">
        <v>125.9</v>
      </c>
      <c r="AB56" s="3">
        <v>134.19999999999999</v>
      </c>
      <c r="AC56" s="3">
        <v>7</v>
      </c>
      <c r="AD56" s="8">
        <v>42917</v>
      </c>
    </row>
    <row r="57" spans="1:30" hidden="1" x14ac:dyDescent="0.35">
      <c r="A57" s="4" t="s">
        <v>34</v>
      </c>
      <c r="B57" s="2">
        <v>134.30000000000001</v>
      </c>
      <c r="C57" s="2">
        <v>143.4</v>
      </c>
      <c r="D57" s="2">
        <v>129.30000000000001</v>
      </c>
      <c r="E57" s="2">
        <v>139</v>
      </c>
      <c r="F57" s="2">
        <v>118.1</v>
      </c>
      <c r="G57" s="2">
        <v>145.5</v>
      </c>
      <c r="H57" s="2">
        <v>168.6</v>
      </c>
      <c r="I57" s="2">
        <v>132.69999999999999</v>
      </c>
      <c r="J57" s="2">
        <v>121.2</v>
      </c>
      <c r="K57" s="2">
        <v>135.6</v>
      </c>
      <c r="L57" s="2">
        <v>128.69999999999999</v>
      </c>
      <c r="M57" s="16">
        <v>146.80000000000001</v>
      </c>
      <c r="N57" s="2">
        <v>140.6</v>
      </c>
      <c r="O57" s="2">
        <v>149.80000000000001</v>
      </c>
      <c r="P57" s="2">
        <v>140.30000000000001</v>
      </c>
      <c r="Q57" s="2">
        <v>133</v>
      </c>
      <c r="R57" s="2">
        <v>139.30000000000001</v>
      </c>
      <c r="S57" s="2">
        <v>134.4</v>
      </c>
      <c r="T57" s="2">
        <v>129.80000000000001</v>
      </c>
      <c r="U57" s="2">
        <v>132.80000000000001</v>
      </c>
      <c r="V57" s="2">
        <v>130.19999999999999</v>
      </c>
      <c r="W57" s="2">
        <v>117.3</v>
      </c>
      <c r="X57" s="2">
        <v>127.3</v>
      </c>
      <c r="Y57" s="2">
        <v>137.6</v>
      </c>
      <c r="Z57" s="2">
        <v>124.5</v>
      </c>
      <c r="AA57" s="2">
        <v>126.8</v>
      </c>
      <c r="AB57" s="2">
        <v>135.4</v>
      </c>
      <c r="AC57" s="2">
        <v>8</v>
      </c>
      <c r="AD57" s="9">
        <v>42948</v>
      </c>
    </row>
    <row r="58" spans="1:30" hidden="1" x14ac:dyDescent="0.35">
      <c r="A58" s="5" t="s">
        <v>34</v>
      </c>
      <c r="B58" s="3">
        <v>134.69999999999999</v>
      </c>
      <c r="C58" s="3">
        <v>142.4</v>
      </c>
      <c r="D58" s="3">
        <v>130.19999999999999</v>
      </c>
      <c r="E58" s="3">
        <v>139.6</v>
      </c>
      <c r="F58" s="3">
        <v>118.4</v>
      </c>
      <c r="G58" s="3">
        <v>143</v>
      </c>
      <c r="H58" s="3">
        <v>156.6</v>
      </c>
      <c r="I58" s="3">
        <v>132.9</v>
      </c>
      <c r="J58" s="3">
        <v>121.5</v>
      </c>
      <c r="K58" s="3">
        <v>135.6</v>
      </c>
      <c r="L58" s="3">
        <v>128.80000000000001</v>
      </c>
      <c r="M58" s="15">
        <v>147.30000000000001</v>
      </c>
      <c r="N58" s="3">
        <v>139</v>
      </c>
      <c r="O58" s="3">
        <v>150.80000000000001</v>
      </c>
      <c r="P58" s="3">
        <v>141.1</v>
      </c>
      <c r="Q58" s="3">
        <v>133.4</v>
      </c>
      <c r="R58" s="3">
        <v>140</v>
      </c>
      <c r="S58" s="3">
        <v>135.69999999999999</v>
      </c>
      <c r="T58" s="3">
        <v>131</v>
      </c>
      <c r="U58" s="3">
        <v>133.30000000000001</v>
      </c>
      <c r="V58" s="3">
        <v>130.6</v>
      </c>
      <c r="W58" s="3">
        <v>118.3</v>
      </c>
      <c r="X58" s="3">
        <v>127.9</v>
      </c>
      <c r="Y58" s="3">
        <v>137.4</v>
      </c>
      <c r="Z58" s="3">
        <v>125.7</v>
      </c>
      <c r="AA58" s="3">
        <v>127.5</v>
      </c>
      <c r="AB58" s="3">
        <v>135.19999999999999</v>
      </c>
      <c r="AC58" s="3">
        <v>9</v>
      </c>
      <c r="AD58" s="8">
        <v>42979</v>
      </c>
    </row>
    <row r="59" spans="1:30" hidden="1" x14ac:dyDescent="0.35">
      <c r="A59" s="4" t="s">
        <v>34</v>
      </c>
      <c r="B59" s="2">
        <v>135.30000000000001</v>
      </c>
      <c r="C59" s="2">
        <v>142.19999999999999</v>
      </c>
      <c r="D59" s="2">
        <v>131.19999999999999</v>
      </c>
      <c r="E59" s="2">
        <v>140.6</v>
      </c>
      <c r="F59" s="2">
        <v>119</v>
      </c>
      <c r="G59" s="2">
        <v>141.5</v>
      </c>
      <c r="H59" s="2">
        <v>162.6</v>
      </c>
      <c r="I59" s="2">
        <v>132.30000000000001</v>
      </c>
      <c r="J59" s="2">
        <v>121.8</v>
      </c>
      <c r="K59" s="2">
        <v>136.30000000000001</v>
      </c>
      <c r="L59" s="2">
        <v>128.69999999999999</v>
      </c>
      <c r="M59" s="16">
        <v>148.1</v>
      </c>
      <c r="N59" s="2">
        <v>140.1</v>
      </c>
      <c r="O59" s="2">
        <v>151.6</v>
      </c>
      <c r="P59" s="2">
        <v>142</v>
      </c>
      <c r="Q59" s="2">
        <v>134.1</v>
      </c>
      <c r="R59" s="2">
        <v>140.80000000000001</v>
      </c>
      <c r="S59" s="2">
        <v>137.30000000000001</v>
      </c>
      <c r="T59" s="2">
        <v>132.19999999999999</v>
      </c>
      <c r="U59" s="2">
        <v>133.6</v>
      </c>
      <c r="V59" s="2">
        <v>131.30000000000001</v>
      </c>
      <c r="W59" s="2">
        <v>117.8</v>
      </c>
      <c r="X59" s="2">
        <v>128.4</v>
      </c>
      <c r="Y59" s="2">
        <v>137.9</v>
      </c>
      <c r="Z59" s="2">
        <v>126.2</v>
      </c>
      <c r="AA59" s="2">
        <v>127.7</v>
      </c>
      <c r="AB59" s="2">
        <v>136.1</v>
      </c>
      <c r="AC59" s="2">
        <v>10</v>
      </c>
      <c r="AD59" s="9">
        <v>43009</v>
      </c>
    </row>
    <row r="60" spans="1:30" hidden="1" x14ac:dyDescent="0.35">
      <c r="A60" s="5" t="s">
        <v>34</v>
      </c>
      <c r="B60" s="3">
        <v>135.69999999999999</v>
      </c>
      <c r="C60" s="3">
        <v>142.4</v>
      </c>
      <c r="D60" s="3">
        <v>142.9</v>
      </c>
      <c r="E60" s="3">
        <v>140.80000000000001</v>
      </c>
      <c r="F60" s="3">
        <v>119.2</v>
      </c>
      <c r="G60" s="3">
        <v>142.19999999999999</v>
      </c>
      <c r="H60" s="3">
        <v>173.8</v>
      </c>
      <c r="I60" s="3">
        <v>131.19999999999999</v>
      </c>
      <c r="J60" s="3">
        <v>123</v>
      </c>
      <c r="K60" s="3">
        <v>136.80000000000001</v>
      </c>
      <c r="L60" s="3">
        <v>129.19999999999999</v>
      </c>
      <c r="M60" s="15">
        <v>148.9</v>
      </c>
      <c r="N60" s="3">
        <v>142.1</v>
      </c>
      <c r="O60" s="3">
        <v>153.19999999999999</v>
      </c>
      <c r="P60" s="3">
        <v>143</v>
      </c>
      <c r="Q60" s="3">
        <v>134.80000000000001</v>
      </c>
      <c r="R60" s="3">
        <v>141.80000000000001</v>
      </c>
      <c r="S60" s="3">
        <v>138.6</v>
      </c>
      <c r="T60" s="3">
        <v>135.30000000000001</v>
      </c>
      <c r="U60" s="3">
        <v>134.4</v>
      </c>
      <c r="V60" s="3">
        <v>132.6</v>
      </c>
      <c r="W60" s="3">
        <v>118.3</v>
      </c>
      <c r="X60" s="3">
        <v>128.9</v>
      </c>
      <c r="Y60" s="3">
        <v>138.6</v>
      </c>
      <c r="Z60" s="3">
        <v>126.8</v>
      </c>
      <c r="AA60" s="3">
        <v>128.4</v>
      </c>
      <c r="AB60" s="3">
        <v>137.6</v>
      </c>
      <c r="AC60" s="3">
        <v>11</v>
      </c>
      <c r="AD60" s="8">
        <v>43040</v>
      </c>
    </row>
    <row r="61" spans="1:30" hidden="1" x14ac:dyDescent="0.35">
      <c r="A61" s="4" t="s">
        <v>34</v>
      </c>
      <c r="B61" s="2">
        <v>135.80000000000001</v>
      </c>
      <c r="C61" s="2">
        <v>143.30000000000001</v>
      </c>
      <c r="D61" s="2">
        <v>145.19999999999999</v>
      </c>
      <c r="E61" s="2">
        <v>141</v>
      </c>
      <c r="F61" s="2">
        <v>120.5</v>
      </c>
      <c r="G61" s="2">
        <v>141.5</v>
      </c>
      <c r="H61" s="2">
        <v>161.69999999999999</v>
      </c>
      <c r="I61" s="2">
        <v>129.1</v>
      </c>
      <c r="J61" s="2">
        <v>121.5</v>
      </c>
      <c r="K61" s="2">
        <v>137.1</v>
      </c>
      <c r="L61" s="2">
        <v>128.80000000000001</v>
      </c>
      <c r="M61" s="16">
        <v>149</v>
      </c>
      <c r="N61" s="2">
        <v>140.5</v>
      </c>
      <c r="O61" s="2">
        <v>154.19999999999999</v>
      </c>
      <c r="P61" s="2">
        <v>143.1</v>
      </c>
      <c r="Q61" s="2">
        <v>135.1</v>
      </c>
      <c r="R61" s="2">
        <v>142</v>
      </c>
      <c r="S61" s="2">
        <v>139.1</v>
      </c>
      <c r="T61" s="2">
        <v>136.6</v>
      </c>
      <c r="U61" s="2">
        <v>134.69999999999999</v>
      </c>
      <c r="V61" s="2">
        <v>133.1</v>
      </c>
      <c r="W61" s="2">
        <v>118.5</v>
      </c>
      <c r="X61" s="2">
        <v>129</v>
      </c>
      <c r="Y61" s="2">
        <v>138.5</v>
      </c>
      <c r="Z61" s="2">
        <v>126.5</v>
      </c>
      <c r="AA61" s="2">
        <v>128.6</v>
      </c>
      <c r="AB61" s="2">
        <v>137.19999999999999</v>
      </c>
      <c r="AC61" s="2">
        <v>12</v>
      </c>
      <c r="AD61" s="9">
        <v>43070</v>
      </c>
    </row>
    <row r="62" spans="1:30" hidden="1" x14ac:dyDescent="0.35">
      <c r="A62" s="5" t="s">
        <v>34</v>
      </c>
      <c r="B62" s="3">
        <v>136</v>
      </c>
      <c r="C62" s="3">
        <v>144.19999999999999</v>
      </c>
      <c r="D62" s="3">
        <v>143.69999999999999</v>
      </c>
      <c r="E62" s="3">
        <v>141.1</v>
      </c>
      <c r="F62" s="3">
        <v>120.7</v>
      </c>
      <c r="G62" s="3">
        <v>141.30000000000001</v>
      </c>
      <c r="H62" s="3">
        <v>151.6</v>
      </c>
      <c r="I62" s="3">
        <v>127.3</v>
      </c>
      <c r="J62" s="3">
        <v>118.8</v>
      </c>
      <c r="K62" s="3">
        <v>137.5</v>
      </c>
      <c r="L62" s="3">
        <v>129</v>
      </c>
      <c r="M62" s="15">
        <v>149.5</v>
      </c>
      <c r="N62" s="3">
        <v>139.19999999999999</v>
      </c>
      <c r="O62" s="3">
        <v>154.69999999999999</v>
      </c>
      <c r="P62" s="3">
        <v>143.5</v>
      </c>
      <c r="Q62" s="3">
        <v>135.5</v>
      </c>
      <c r="R62" s="3">
        <v>142.30000000000001</v>
      </c>
      <c r="S62" s="3">
        <v>140.4</v>
      </c>
      <c r="T62" s="3">
        <v>136.6</v>
      </c>
      <c r="U62" s="3">
        <v>134.9</v>
      </c>
      <c r="V62" s="3">
        <v>133.30000000000001</v>
      </c>
      <c r="W62" s="3">
        <v>119.3</v>
      </c>
      <c r="X62" s="3">
        <v>129.69999999999999</v>
      </c>
      <c r="Y62" s="3">
        <v>139</v>
      </c>
      <c r="Z62" s="3">
        <v>127.3</v>
      </c>
      <c r="AA62" s="3">
        <v>129.1</v>
      </c>
      <c r="AB62" s="3">
        <v>136.9</v>
      </c>
      <c r="AC62" s="3">
        <v>1</v>
      </c>
      <c r="AD62" s="8">
        <v>43101</v>
      </c>
    </row>
    <row r="63" spans="1:30" hidden="1" x14ac:dyDescent="0.35">
      <c r="A63" s="4" t="s">
        <v>34</v>
      </c>
      <c r="B63" s="2">
        <v>135.9</v>
      </c>
      <c r="C63" s="2">
        <v>143.5</v>
      </c>
      <c r="D63" s="2">
        <v>140.30000000000001</v>
      </c>
      <c r="E63" s="2">
        <v>140.9</v>
      </c>
      <c r="F63" s="2">
        <v>120.4</v>
      </c>
      <c r="G63" s="2">
        <v>142.9</v>
      </c>
      <c r="H63" s="2">
        <v>140.5</v>
      </c>
      <c r="I63" s="2">
        <v>125.8</v>
      </c>
      <c r="J63" s="2">
        <v>117.1</v>
      </c>
      <c r="K63" s="2">
        <v>137.30000000000001</v>
      </c>
      <c r="L63" s="2">
        <v>128.6</v>
      </c>
      <c r="M63" s="16">
        <v>149.6</v>
      </c>
      <c r="N63" s="2">
        <v>137.6</v>
      </c>
      <c r="O63" s="2">
        <v>154.9</v>
      </c>
      <c r="P63" s="2">
        <v>143.80000000000001</v>
      </c>
      <c r="Q63" s="2">
        <v>135.6</v>
      </c>
      <c r="R63" s="2">
        <v>142.6</v>
      </c>
      <c r="S63" s="2">
        <v>141.30000000000001</v>
      </c>
      <c r="T63" s="2">
        <v>136.69999999999999</v>
      </c>
      <c r="U63" s="2">
        <v>135.19999999999999</v>
      </c>
      <c r="V63" s="2">
        <v>133.80000000000001</v>
      </c>
      <c r="W63" s="2">
        <v>120.2</v>
      </c>
      <c r="X63" s="2">
        <v>129.9</v>
      </c>
      <c r="Y63" s="2">
        <v>139</v>
      </c>
      <c r="Z63" s="2">
        <v>127.7</v>
      </c>
      <c r="AA63" s="2">
        <v>129.6</v>
      </c>
      <c r="AB63" s="2">
        <v>136.4</v>
      </c>
      <c r="AC63" s="2">
        <v>2</v>
      </c>
      <c r="AD63" s="9">
        <v>43132</v>
      </c>
    </row>
    <row r="64" spans="1:30" hidden="1" x14ac:dyDescent="0.35">
      <c r="A64" s="5" t="s">
        <v>34</v>
      </c>
      <c r="B64" s="3">
        <v>136.19999999999999</v>
      </c>
      <c r="C64" s="3">
        <v>143.6</v>
      </c>
      <c r="D64" s="3">
        <v>138.30000000000001</v>
      </c>
      <c r="E64" s="3">
        <v>141.19999999999999</v>
      </c>
      <c r="F64" s="3">
        <v>120.7</v>
      </c>
      <c r="G64" s="3">
        <v>146.19999999999999</v>
      </c>
      <c r="H64" s="3">
        <v>134.6</v>
      </c>
      <c r="I64" s="3">
        <v>124.6</v>
      </c>
      <c r="J64" s="3">
        <v>116.1</v>
      </c>
      <c r="K64" s="3">
        <v>137.80000000000001</v>
      </c>
      <c r="L64" s="3">
        <v>129.1</v>
      </c>
      <c r="M64" s="15">
        <v>150.4</v>
      </c>
      <c r="N64" s="3">
        <v>137.19999999999999</v>
      </c>
      <c r="O64" s="3">
        <v>156.30000000000001</v>
      </c>
      <c r="P64" s="3">
        <v>144.30000000000001</v>
      </c>
      <c r="Q64" s="3">
        <v>136.19999999999999</v>
      </c>
      <c r="R64" s="3">
        <v>143.1</v>
      </c>
      <c r="S64" s="3">
        <v>142</v>
      </c>
      <c r="T64" s="3">
        <v>136.5</v>
      </c>
      <c r="U64" s="3">
        <v>135.6</v>
      </c>
      <c r="V64" s="3">
        <v>134.30000000000001</v>
      </c>
      <c r="W64" s="3">
        <v>121</v>
      </c>
      <c r="X64" s="3">
        <v>130.4</v>
      </c>
      <c r="Y64" s="3">
        <v>139.80000000000001</v>
      </c>
      <c r="Z64" s="3">
        <v>128.19999999999999</v>
      </c>
      <c r="AA64" s="3">
        <v>130.30000000000001</v>
      </c>
      <c r="AB64" s="3">
        <v>136.5</v>
      </c>
      <c r="AC64" s="3">
        <v>3</v>
      </c>
      <c r="AD64" s="8">
        <v>43160</v>
      </c>
    </row>
    <row r="65" spans="1:30" hidden="1" x14ac:dyDescent="0.35">
      <c r="A65" s="4" t="s">
        <v>34</v>
      </c>
      <c r="B65" s="2">
        <v>136.4</v>
      </c>
      <c r="C65" s="2">
        <v>144.4</v>
      </c>
      <c r="D65" s="2">
        <v>133.9</v>
      </c>
      <c r="E65" s="2">
        <v>141.6</v>
      </c>
      <c r="F65" s="2">
        <v>121</v>
      </c>
      <c r="G65" s="2">
        <v>153.5</v>
      </c>
      <c r="H65" s="2">
        <v>132.6</v>
      </c>
      <c r="I65" s="2">
        <v>123.5</v>
      </c>
      <c r="J65" s="2">
        <v>113.7</v>
      </c>
      <c r="K65" s="2">
        <v>138.19999999999999</v>
      </c>
      <c r="L65" s="2">
        <v>129.6</v>
      </c>
      <c r="M65" s="16">
        <v>151.19999999999999</v>
      </c>
      <c r="N65" s="2">
        <v>137.5</v>
      </c>
      <c r="O65" s="2">
        <v>156.9</v>
      </c>
      <c r="P65" s="2">
        <v>145.30000000000001</v>
      </c>
      <c r="Q65" s="2">
        <v>136.69999999999999</v>
      </c>
      <c r="R65" s="2">
        <v>144</v>
      </c>
      <c r="S65" s="2">
        <v>142.9</v>
      </c>
      <c r="T65" s="2">
        <v>136.5</v>
      </c>
      <c r="U65" s="2">
        <v>136.6</v>
      </c>
      <c r="V65" s="2">
        <v>135.19999999999999</v>
      </c>
      <c r="W65" s="2">
        <v>121.9</v>
      </c>
      <c r="X65" s="2">
        <v>131.30000000000001</v>
      </c>
      <c r="Y65" s="2">
        <v>141.4</v>
      </c>
      <c r="Z65" s="2">
        <v>129.19999999999999</v>
      </c>
      <c r="AA65" s="2">
        <v>131.30000000000001</v>
      </c>
      <c r="AB65" s="2">
        <v>137.1</v>
      </c>
      <c r="AC65" s="2">
        <v>4</v>
      </c>
      <c r="AD65" s="9">
        <v>43191</v>
      </c>
    </row>
    <row r="66" spans="1:30" hidden="1" x14ac:dyDescent="0.35">
      <c r="A66" s="5" t="s">
        <v>34</v>
      </c>
      <c r="B66" s="3">
        <v>136.6</v>
      </c>
      <c r="C66" s="3">
        <v>146.6</v>
      </c>
      <c r="D66" s="3">
        <v>133.6</v>
      </c>
      <c r="E66" s="3">
        <v>142.1</v>
      </c>
      <c r="F66" s="3">
        <v>121</v>
      </c>
      <c r="G66" s="3">
        <v>154.6</v>
      </c>
      <c r="H66" s="3">
        <v>135.6</v>
      </c>
      <c r="I66" s="3">
        <v>122.3</v>
      </c>
      <c r="J66" s="3">
        <v>109.6</v>
      </c>
      <c r="K66" s="3">
        <v>138.1</v>
      </c>
      <c r="L66" s="3">
        <v>129.9</v>
      </c>
      <c r="M66" s="15">
        <v>151.69999999999999</v>
      </c>
      <c r="N66" s="3">
        <v>138.1</v>
      </c>
      <c r="O66" s="3">
        <v>157.9</v>
      </c>
      <c r="P66" s="3">
        <v>146</v>
      </c>
      <c r="Q66" s="3">
        <v>137.4</v>
      </c>
      <c r="R66" s="3">
        <v>144.69999999999999</v>
      </c>
      <c r="S66" s="3">
        <v>143.19999999999999</v>
      </c>
      <c r="T66" s="3">
        <v>136.9</v>
      </c>
      <c r="U66" s="3">
        <v>137.4</v>
      </c>
      <c r="V66" s="3">
        <v>136</v>
      </c>
      <c r="W66" s="3">
        <v>122.9</v>
      </c>
      <c r="X66" s="3">
        <v>131.80000000000001</v>
      </c>
      <c r="Y66" s="3">
        <v>142.1</v>
      </c>
      <c r="Z66" s="3">
        <v>129.9</v>
      </c>
      <c r="AA66" s="3">
        <v>132.1</v>
      </c>
      <c r="AB66" s="3">
        <v>137.80000000000001</v>
      </c>
      <c r="AC66" s="3">
        <v>5</v>
      </c>
      <c r="AD66" s="8">
        <v>43221</v>
      </c>
    </row>
    <row r="67" spans="1:30" hidden="1" x14ac:dyDescent="0.35">
      <c r="A67" s="4" t="s">
        <v>34</v>
      </c>
      <c r="B67" s="2">
        <v>136.9</v>
      </c>
      <c r="C67" s="2">
        <v>148.69999999999999</v>
      </c>
      <c r="D67" s="2">
        <v>135.6</v>
      </c>
      <c r="E67" s="2">
        <v>142.30000000000001</v>
      </c>
      <c r="F67" s="2">
        <v>121.3</v>
      </c>
      <c r="G67" s="2">
        <v>153.19999999999999</v>
      </c>
      <c r="H67" s="2">
        <v>143.69999999999999</v>
      </c>
      <c r="I67" s="2">
        <v>121.4</v>
      </c>
      <c r="J67" s="2">
        <v>111.1</v>
      </c>
      <c r="K67" s="2">
        <v>138.4</v>
      </c>
      <c r="L67" s="2">
        <v>130.30000000000001</v>
      </c>
      <c r="M67" s="16">
        <v>151.80000000000001</v>
      </c>
      <c r="N67" s="2">
        <v>139.4</v>
      </c>
      <c r="O67" s="2">
        <v>158.30000000000001</v>
      </c>
      <c r="P67" s="2">
        <v>146.4</v>
      </c>
      <c r="Q67" s="2">
        <v>138.1</v>
      </c>
      <c r="R67" s="2">
        <v>145.19999999999999</v>
      </c>
      <c r="S67" s="2">
        <v>142.5</v>
      </c>
      <c r="T67" s="2">
        <v>138.1</v>
      </c>
      <c r="U67" s="2">
        <v>137.9</v>
      </c>
      <c r="V67" s="2">
        <v>136.19999999999999</v>
      </c>
      <c r="W67" s="2">
        <v>123.7</v>
      </c>
      <c r="X67" s="2">
        <v>132.6</v>
      </c>
      <c r="Y67" s="2">
        <v>142.80000000000001</v>
      </c>
      <c r="Z67" s="2">
        <v>130.1</v>
      </c>
      <c r="AA67" s="2">
        <v>132.6</v>
      </c>
      <c r="AB67" s="2">
        <v>138.5</v>
      </c>
      <c r="AC67" s="2">
        <v>6</v>
      </c>
      <c r="AD67" s="9">
        <v>43252</v>
      </c>
    </row>
    <row r="68" spans="1:30" hidden="1" x14ac:dyDescent="0.35">
      <c r="A68" s="5" t="s">
        <v>34</v>
      </c>
      <c r="B68" s="3">
        <v>137.5</v>
      </c>
      <c r="C68" s="3">
        <v>149.1</v>
      </c>
      <c r="D68" s="3">
        <v>139.19999999999999</v>
      </c>
      <c r="E68" s="3">
        <v>142.5</v>
      </c>
      <c r="F68" s="3">
        <v>121.4</v>
      </c>
      <c r="G68" s="3">
        <v>151.6</v>
      </c>
      <c r="H68" s="3">
        <v>155.9</v>
      </c>
      <c r="I68" s="3">
        <v>121.7</v>
      </c>
      <c r="J68" s="3">
        <v>113.5</v>
      </c>
      <c r="K68" s="3">
        <v>138.9</v>
      </c>
      <c r="L68" s="3">
        <v>130.30000000000001</v>
      </c>
      <c r="M68" s="15">
        <v>152.30000000000001</v>
      </c>
      <c r="N68" s="3">
        <v>141.4</v>
      </c>
      <c r="O68" s="3">
        <v>157.5</v>
      </c>
      <c r="P68" s="3">
        <v>146.80000000000001</v>
      </c>
      <c r="Q68" s="3">
        <v>138.4</v>
      </c>
      <c r="R68" s="3">
        <v>145.6</v>
      </c>
      <c r="S68" s="3">
        <v>143.6</v>
      </c>
      <c r="T68" s="3">
        <v>139.69999999999999</v>
      </c>
      <c r="U68" s="3">
        <v>138.6</v>
      </c>
      <c r="V68" s="3">
        <v>137</v>
      </c>
      <c r="W68" s="3">
        <v>123.6</v>
      </c>
      <c r="X68" s="3">
        <v>133.1</v>
      </c>
      <c r="Y68" s="3">
        <v>144.69999999999999</v>
      </c>
      <c r="Z68" s="3">
        <v>130.1</v>
      </c>
      <c r="AA68" s="3">
        <v>133.19999999999999</v>
      </c>
      <c r="AB68" s="3">
        <v>139.80000000000001</v>
      </c>
      <c r="AC68" s="3">
        <v>7</v>
      </c>
      <c r="AD68" s="8">
        <v>43282</v>
      </c>
    </row>
    <row r="69" spans="1:30" hidden="1" x14ac:dyDescent="0.35">
      <c r="A69" s="4" t="s">
        <v>34</v>
      </c>
      <c r="B69" s="2">
        <v>138.30000000000001</v>
      </c>
      <c r="C69" s="2">
        <v>148</v>
      </c>
      <c r="D69" s="2">
        <v>138.1</v>
      </c>
      <c r="E69" s="2">
        <v>142.6</v>
      </c>
      <c r="F69" s="2">
        <v>122.2</v>
      </c>
      <c r="G69" s="2">
        <v>150.6</v>
      </c>
      <c r="H69" s="2">
        <v>156.6</v>
      </c>
      <c r="I69" s="2">
        <v>122.4</v>
      </c>
      <c r="J69" s="2">
        <v>114.7</v>
      </c>
      <c r="K69" s="2">
        <v>139.4</v>
      </c>
      <c r="L69" s="2">
        <v>131.1</v>
      </c>
      <c r="M69" s="16">
        <v>153</v>
      </c>
      <c r="N69" s="2">
        <v>141.69999999999999</v>
      </c>
      <c r="O69" s="2">
        <v>157.9</v>
      </c>
      <c r="P69" s="2">
        <v>147.30000000000001</v>
      </c>
      <c r="Q69" s="2">
        <v>138.80000000000001</v>
      </c>
      <c r="R69" s="2">
        <v>146.1</v>
      </c>
      <c r="S69" s="2">
        <v>144.6</v>
      </c>
      <c r="T69" s="2">
        <v>140.9</v>
      </c>
      <c r="U69" s="2">
        <v>139.4</v>
      </c>
      <c r="V69" s="2">
        <v>137.69999999999999</v>
      </c>
      <c r="W69" s="2">
        <v>124.3</v>
      </c>
      <c r="X69" s="2">
        <v>133.6</v>
      </c>
      <c r="Y69" s="2">
        <v>146</v>
      </c>
      <c r="Z69" s="2">
        <v>130.1</v>
      </c>
      <c r="AA69" s="2">
        <v>133.9</v>
      </c>
      <c r="AB69" s="2">
        <v>140.4</v>
      </c>
      <c r="AC69" s="2">
        <v>8</v>
      </c>
      <c r="AD69" s="9">
        <v>43313</v>
      </c>
    </row>
    <row r="70" spans="1:30" hidden="1" x14ac:dyDescent="0.35">
      <c r="A70" s="5" t="s">
        <v>34</v>
      </c>
      <c r="B70" s="3">
        <v>138.6</v>
      </c>
      <c r="C70" s="3">
        <v>145.80000000000001</v>
      </c>
      <c r="D70" s="3">
        <v>135.1</v>
      </c>
      <c r="E70" s="3">
        <v>142.9</v>
      </c>
      <c r="F70" s="3">
        <v>122.1</v>
      </c>
      <c r="G70" s="3">
        <v>145.4</v>
      </c>
      <c r="H70" s="3">
        <v>150</v>
      </c>
      <c r="I70" s="3">
        <v>121.4</v>
      </c>
      <c r="J70" s="3">
        <v>113.7</v>
      </c>
      <c r="K70" s="3">
        <v>139.5</v>
      </c>
      <c r="L70" s="3">
        <v>130.80000000000001</v>
      </c>
      <c r="M70" s="15">
        <v>153.80000000000001</v>
      </c>
      <c r="N70" s="3">
        <v>140.4</v>
      </c>
      <c r="O70" s="3">
        <v>159.19999999999999</v>
      </c>
      <c r="P70" s="3">
        <v>147.69999999999999</v>
      </c>
      <c r="Q70" s="3">
        <v>139.1</v>
      </c>
      <c r="R70" s="3">
        <v>146.5</v>
      </c>
      <c r="S70" s="3">
        <v>145.30000000000001</v>
      </c>
      <c r="T70" s="3">
        <v>142.30000000000001</v>
      </c>
      <c r="U70" s="3">
        <v>139.69999999999999</v>
      </c>
      <c r="V70" s="3">
        <v>138.4</v>
      </c>
      <c r="W70" s="3">
        <v>126</v>
      </c>
      <c r="X70" s="3">
        <v>134.5</v>
      </c>
      <c r="Y70" s="3">
        <v>146.19999999999999</v>
      </c>
      <c r="Z70" s="3">
        <v>130.9</v>
      </c>
      <c r="AA70" s="3">
        <v>134.69999999999999</v>
      </c>
      <c r="AB70" s="3">
        <v>140.19999999999999</v>
      </c>
      <c r="AC70" s="3">
        <v>9</v>
      </c>
      <c r="AD70" s="8">
        <v>43344</v>
      </c>
    </row>
    <row r="71" spans="1:30" hidden="1" x14ac:dyDescent="0.35">
      <c r="A71" s="4" t="s">
        <v>34</v>
      </c>
      <c r="B71" s="2">
        <v>137.4</v>
      </c>
      <c r="C71" s="2">
        <v>149.5</v>
      </c>
      <c r="D71" s="2">
        <v>137.30000000000001</v>
      </c>
      <c r="E71" s="2">
        <v>141.9</v>
      </c>
      <c r="F71" s="2">
        <v>121.1</v>
      </c>
      <c r="G71" s="2">
        <v>142.5</v>
      </c>
      <c r="H71" s="2">
        <v>146.69999999999999</v>
      </c>
      <c r="I71" s="2">
        <v>119.1</v>
      </c>
      <c r="J71" s="2">
        <v>111.9</v>
      </c>
      <c r="K71" s="2">
        <v>141</v>
      </c>
      <c r="L71" s="2">
        <v>133.6</v>
      </c>
      <c r="M71" s="16">
        <v>154.5</v>
      </c>
      <c r="N71" s="2">
        <v>139.69999999999999</v>
      </c>
      <c r="O71" s="2">
        <v>162.6</v>
      </c>
      <c r="P71" s="2">
        <v>148</v>
      </c>
      <c r="Q71" s="2">
        <v>139.19999999999999</v>
      </c>
      <c r="R71" s="2">
        <v>146.80000000000001</v>
      </c>
      <c r="S71" s="2">
        <v>146.9</v>
      </c>
      <c r="T71" s="2">
        <v>145.30000000000001</v>
      </c>
      <c r="U71" s="2">
        <v>142.19999999999999</v>
      </c>
      <c r="V71" s="2">
        <v>142.1</v>
      </c>
      <c r="W71" s="2">
        <v>125.5</v>
      </c>
      <c r="X71" s="2">
        <v>136.5</v>
      </c>
      <c r="Y71" s="2">
        <v>147.80000000000001</v>
      </c>
      <c r="Z71" s="2">
        <v>132</v>
      </c>
      <c r="AA71" s="2">
        <v>136.30000000000001</v>
      </c>
      <c r="AB71" s="2">
        <v>140.80000000000001</v>
      </c>
      <c r="AC71" s="2">
        <v>10</v>
      </c>
      <c r="AD71" s="9">
        <v>43374</v>
      </c>
    </row>
    <row r="72" spans="1:30" hidden="1" x14ac:dyDescent="0.35">
      <c r="A72" s="5" t="s">
        <v>34</v>
      </c>
      <c r="B72" s="3">
        <v>137.4</v>
      </c>
      <c r="C72" s="3">
        <v>149.19999999999999</v>
      </c>
      <c r="D72" s="3">
        <v>137.1</v>
      </c>
      <c r="E72" s="3">
        <v>141.80000000000001</v>
      </c>
      <c r="F72" s="3">
        <v>121.1</v>
      </c>
      <c r="G72" s="3">
        <v>142.80000000000001</v>
      </c>
      <c r="H72" s="3">
        <v>146.69999999999999</v>
      </c>
      <c r="I72" s="3">
        <v>119.1</v>
      </c>
      <c r="J72" s="3">
        <v>111.9</v>
      </c>
      <c r="K72" s="3">
        <v>140.9</v>
      </c>
      <c r="L72" s="3">
        <v>133.5</v>
      </c>
      <c r="M72" s="15">
        <v>154.5</v>
      </c>
      <c r="N72" s="3">
        <v>139.69999999999999</v>
      </c>
      <c r="O72" s="3">
        <v>162.6</v>
      </c>
      <c r="P72" s="3">
        <v>148</v>
      </c>
      <c r="Q72" s="3">
        <v>139.1</v>
      </c>
      <c r="R72" s="3">
        <v>146.69999999999999</v>
      </c>
      <c r="S72" s="3">
        <v>146.9</v>
      </c>
      <c r="T72" s="3">
        <v>145.1</v>
      </c>
      <c r="U72" s="3">
        <v>142.19999999999999</v>
      </c>
      <c r="V72" s="3">
        <v>142.1</v>
      </c>
      <c r="W72" s="3">
        <v>125.5</v>
      </c>
      <c r="X72" s="3">
        <v>136.5</v>
      </c>
      <c r="Y72" s="3">
        <v>147.80000000000001</v>
      </c>
      <c r="Z72" s="3">
        <v>132</v>
      </c>
      <c r="AA72" s="3">
        <v>136.30000000000001</v>
      </c>
      <c r="AB72" s="3">
        <v>140.80000000000001</v>
      </c>
      <c r="AC72" s="3">
        <v>11</v>
      </c>
      <c r="AD72" s="8">
        <v>43405</v>
      </c>
    </row>
    <row r="73" spans="1:30" hidden="1" x14ac:dyDescent="0.35">
      <c r="A73" s="4" t="s">
        <v>34</v>
      </c>
      <c r="B73" s="2">
        <v>137.5</v>
      </c>
      <c r="C73" s="2">
        <v>150.5</v>
      </c>
      <c r="D73" s="2">
        <v>138.80000000000001</v>
      </c>
      <c r="E73" s="2">
        <v>142.1</v>
      </c>
      <c r="F73" s="2">
        <v>122</v>
      </c>
      <c r="G73" s="2">
        <v>139.4</v>
      </c>
      <c r="H73" s="2">
        <v>135.19999999999999</v>
      </c>
      <c r="I73" s="2">
        <v>119.8</v>
      </c>
      <c r="J73" s="2">
        <v>110.3</v>
      </c>
      <c r="K73" s="2">
        <v>140.6</v>
      </c>
      <c r="L73" s="2">
        <v>133.80000000000001</v>
      </c>
      <c r="M73" s="16">
        <v>154.6</v>
      </c>
      <c r="N73" s="2">
        <v>138.19999999999999</v>
      </c>
      <c r="O73" s="2">
        <v>163</v>
      </c>
      <c r="P73" s="2">
        <v>148.1</v>
      </c>
      <c r="Q73" s="2">
        <v>139.4</v>
      </c>
      <c r="R73" s="2">
        <v>146.80000000000001</v>
      </c>
      <c r="S73" s="2">
        <v>146.5</v>
      </c>
      <c r="T73" s="2">
        <v>142.69999999999999</v>
      </c>
      <c r="U73" s="2">
        <v>143.19999999999999</v>
      </c>
      <c r="V73" s="2">
        <v>144.9</v>
      </c>
      <c r="W73" s="2">
        <v>123.6</v>
      </c>
      <c r="X73" s="2">
        <v>136.80000000000001</v>
      </c>
      <c r="Y73" s="2">
        <v>150.1</v>
      </c>
      <c r="Z73" s="2">
        <v>132.19999999999999</v>
      </c>
      <c r="AA73" s="2">
        <v>136.80000000000001</v>
      </c>
      <c r="AB73" s="2">
        <v>140.1</v>
      </c>
      <c r="AC73" s="2">
        <v>12</v>
      </c>
      <c r="AD73" s="9">
        <v>43435</v>
      </c>
    </row>
    <row r="74" spans="1:30" hidden="1" x14ac:dyDescent="0.35">
      <c r="A74" s="5" t="s">
        <v>34</v>
      </c>
      <c r="B74" s="3">
        <v>137.1</v>
      </c>
      <c r="C74" s="3">
        <v>151.4</v>
      </c>
      <c r="D74" s="3">
        <v>140.19999999999999</v>
      </c>
      <c r="E74" s="3">
        <v>142.1</v>
      </c>
      <c r="F74" s="3">
        <v>121.8</v>
      </c>
      <c r="G74" s="3">
        <v>135.4</v>
      </c>
      <c r="H74" s="3">
        <v>131.30000000000001</v>
      </c>
      <c r="I74" s="3">
        <v>120.3</v>
      </c>
      <c r="J74" s="3">
        <v>109.1</v>
      </c>
      <c r="K74" s="3">
        <v>139.4</v>
      </c>
      <c r="L74" s="3">
        <v>133.30000000000001</v>
      </c>
      <c r="M74" s="15">
        <v>154.6</v>
      </c>
      <c r="N74" s="3">
        <v>137.4</v>
      </c>
      <c r="O74" s="3">
        <v>163.19999999999999</v>
      </c>
      <c r="P74" s="3">
        <v>147.6</v>
      </c>
      <c r="Q74" s="3">
        <v>139</v>
      </c>
      <c r="R74" s="3">
        <v>146.4</v>
      </c>
      <c r="S74" s="3">
        <v>147.69999999999999</v>
      </c>
      <c r="T74" s="3">
        <v>139.5</v>
      </c>
      <c r="U74" s="3">
        <v>143.6</v>
      </c>
      <c r="V74" s="3">
        <v>145.1</v>
      </c>
      <c r="W74" s="3">
        <v>123.3</v>
      </c>
      <c r="X74" s="3">
        <v>136.69999999999999</v>
      </c>
      <c r="Y74" s="3">
        <v>150.19999999999999</v>
      </c>
      <c r="Z74" s="3">
        <v>132.80000000000001</v>
      </c>
      <c r="AA74" s="3">
        <v>136.9</v>
      </c>
      <c r="AB74" s="3">
        <v>139.6</v>
      </c>
      <c r="AC74" s="3">
        <v>1</v>
      </c>
      <c r="AD74" s="8">
        <v>43466</v>
      </c>
    </row>
    <row r="75" spans="1:30" hidden="1" x14ac:dyDescent="0.35">
      <c r="A75" s="4" t="s">
        <v>34</v>
      </c>
      <c r="B75" s="2">
        <v>137.6</v>
      </c>
      <c r="C75" s="2">
        <v>152</v>
      </c>
      <c r="D75" s="2">
        <v>141.5</v>
      </c>
      <c r="E75" s="2">
        <v>142.19999999999999</v>
      </c>
      <c r="F75" s="2">
        <v>122</v>
      </c>
      <c r="G75" s="2">
        <v>136.4</v>
      </c>
      <c r="H75" s="2">
        <v>129.69999999999999</v>
      </c>
      <c r="I75" s="2">
        <v>121</v>
      </c>
      <c r="J75" s="2">
        <v>109</v>
      </c>
      <c r="K75" s="2">
        <v>139.69999999999999</v>
      </c>
      <c r="L75" s="2">
        <v>133.6</v>
      </c>
      <c r="M75" s="16">
        <v>154.9</v>
      </c>
      <c r="N75" s="2">
        <v>137.5</v>
      </c>
      <c r="O75" s="2">
        <v>163.4</v>
      </c>
      <c r="P75" s="2">
        <v>147.69999999999999</v>
      </c>
      <c r="Q75" s="2">
        <v>139.69999999999999</v>
      </c>
      <c r="R75" s="2">
        <v>146.5</v>
      </c>
      <c r="S75" s="2">
        <v>148.5</v>
      </c>
      <c r="T75" s="2">
        <v>138.4</v>
      </c>
      <c r="U75" s="2">
        <v>143.69999999999999</v>
      </c>
      <c r="V75" s="2">
        <v>145.6</v>
      </c>
      <c r="W75" s="2">
        <v>123.9</v>
      </c>
      <c r="X75" s="2">
        <v>137.1</v>
      </c>
      <c r="Y75" s="2">
        <v>150.30000000000001</v>
      </c>
      <c r="Z75" s="2">
        <v>134.1</v>
      </c>
      <c r="AA75" s="2">
        <v>137.4</v>
      </c>
      <c r="AB75" s="2">
        <v>139.9</v>
      </c>
      <c r="AC75" s="2">
        <v>2</v>
      </c>
      <c r="AD75" s="9">
        <v>43497</v>
      </c>
    </row>
    <row r="76" spans="1:30" hidden="1" x14ac:dyDescent="0.35">
      <c r="A76" s="5" t="s">
        <v>34</v>
      </c>
      <c r="B76" s="3">
        <v>137.80000000000001</v>
      </c>
      <c r="C76" s="3">
        <v>153</v>
      </c>
      <c r="D76" s="3">
        <v>140.30000000000001</v>
      </c>
      <c r="E76" s="3">
        <v>142.30000000000001</v>
      </c>
      <c r="F76" s="3">
        <v>122</v>
      </c>
      <c r="G76" s="3">
        <v>137.6</v>
      </c>
      <c r="H76" s="3">
        <v>132.6</v>
      </c>
      <c r="I76" s="3">
        <v>121.8</v>
      </c>
      <c r="J76" s="3">
        <v>109</v>
      </c>
      <c r="K76" s="3">
        <v>139.5</v>
      </c>
      <c r="L76" s="3">
        <v>133.69999999999999</v>
      </c>
      <c r="M76" s="15">
        <v>155.19999999999999</v>
      </c>
      <c r="N76" s="3">
        <v>138.1</v>
      </c>
      <c r="O76" s="3">
        <v>163.5</v>
      </c>
      <c r="P76" s="3">
        <v>147.9</v>
      </c>
      <c r="Q76" s="3">
        <v>139.9</v>
      </c>
      <c r="R76" s="3">
        <v>146.69999999999999</v>
      </c>
      <c r="S76" s="3">
        <v>149</v>
      </c>
      <c r="T76" s="3">
        <v>139.69999999999999</v>
      </c>
      <c r="U76" s="3">
        <v>143.80000000000001</v>
      </c>
      <c r="V76" s="3">
        <v>146.19999999999999</v>
      </c>
      <c r="W76" s="3">
        <v>124.6</v>
      </c>
      <c r="X76" s="3">
        <v>137.69999999999999</v>
      </c>
      <c r="Y76" s="3">
        <v>150.30000000000001</v>
      </c>
      <c r="Z76" s="3">
        <v>133.4</v>
      </c>
      <c r="AA76" s="3">
        <v>137.69999999999999</v>
      </c>
      <c r="AB76" s="3">
        <v>140.4</v>
      </c>
      <c r="AC76" s="3">
        <v>3</v>
      </c>
      <c r="AD76" s="8">
        <v>43525</v>
      </c>
    </row>
    <row r="77" spans="1:30" hidden="1" x14ac:dyDescent="0.35">
      <c r="A77" s="4" t="s">
        <v>34</v>
      </c>
      <c r="B77" s="2">
        <v>138.30000000000001</v>
      </c>
      <c r="C77" s="2">
        <v>158.5</v>
      </c>
      <c r="D77" s="2">
        <v>136</v>
      </c>
      <c r="E77" s="2">
        <v>142.5</v>
      </c>
      <c r="F77" s="2">
        <v>122</v>
      </c>
      <c r="G77" s="2">
        <v>146.5</v>
      </c>
      <c r="H77" s="2">
        <v>143</v>
      </c>
      <c r="I77" s="2">
        <v>124.9</v>
      </c>
      <c r="J77" s="2">
        <v>109.9</v>
      </c>
      <c r="K77" s="2">
        <v>139.9</v>
      </c>
      <c r="L77" s="2">
        <v>134</v>
      </c>
      <c r="M77" s="16">
        <v>155.5</v>
      </c>
      <c r="N77" s="2">
        <v>140.9</v>
      </c>
      <c r="O77" s="2">
        <v>164.1</v>
      </c>
      <c r="P77" s="2">
        <v>148.4</v>
      </c>
      <c r="Q77" s="2">
        <v>140.4</v>
      </c>
      <c r="R77" s="2">
        <v>147.30000000000001</v>
      </c>
      <c r="S77" s="2">
        <v>150.1</v>
      </c>
      <c r="T77" s="2">
        <v>140.30000000000001</v>
      </c>
      <c r="U77" s="2">
        <v>143.69999999999999</v>
      </c>
      <c r="V77" s="2">
        <v>146.9</v>
      </c>
      <c r="W77" s="2">
        <v>124.9</v>
      </c>
      <c r="X77" s="2">
        <v>139.19999999999999</v>
      </c>
      <c r="Y77" s="2">
        <v>151.6</v>
      </c>
      <c r="Z77" s="2">
        <v>133.4</v>
      </c>
      <c r="AA77" s="2">
        <v>138.19999999999999</v>
      </c>
      <c r="AB77" s="2">
        <v>142</v>
      </c>
      <c r="AC77" s="2">
        <v>5</v>
      </c>
      <c r="AD77" s="9">
        <v>43586</v>
      </c>
    </row>
    <row r="78" spans="1:30" hidden="1" x14ac:dyDescent="0.35">
      <c r="A78" s="5" t="s">
        <v>34</v>
      </c>
      <c r="B78" s="3">
        <v>138.69999999999999</v>
      </c>
      <c r="C78" s="3">
        <v>162.1</v>
      </c>
      <c r="D78" s="3">
        <v>137.80000000000001</v>
      </c>
      <c r="E78" s="3">
        <v>143.30000000000001</v>
      </c>
      <c r="F78" s="3">
        <v>122.2</v>
      </c>
      <c r="G78" s="3">
        <v>146.80000000000001</v>
      </c>
      <c r="H78" s="3">
        <v>150.5</v>
      </c>
      <c r="I78" s="3">
        <v>128.30000000000001</v>
      </c>
      <c r="J78" s="3">
        <v>111</v>
      </c>
      <c r="K78" s="3">
        <v>140.6</v>
      </c>
      <c r="L78" s="3">
        <v>134.19999999999999</v>
      </c>
      <c r="M78" s="15">
        <v>155.9</v>
      </c>
      <c r="N78" s="3">
        <v>142.69999999999999</v>
      </c>
      <c r="O78" s="3">
        <v>164.9</v>
      </c>
      <c r="P78" s="3">
        <v>148.6</v>
      </c>
      <c r="Q78" s="3">
        <v>140.4</v>
      </c>
      <c r="R78" s="3">
        <v>147.4</v>
      </c>
      <c r="S78" s="3">
        <v>149.4</v>
      </c>
      <c r="T78" s="3">
        <v>141.19999999999999</v>
      </c>
      <c r="U78" s="3">
        <v>143.80000000000001</v>
      </c>
      <c r="V78" s="3">
        <v>147.4</v>
      </c>
      <c r="W78" s="3">
        <v>124.6</v>
      </c>
      <c r="X78" s="3">
        <v>139.6</v>
      </c>
      <c r="Y78" s="3">
        <v>152.5</v>
      </c>
      <c r="Z78" s="3">
        <v>134.30000000000001</v>
      </c>
      <c r="AA78" s="3">
        <v>138.6</v>
      </c>
      <c r="AB78" s="3">
        <v>142.9</v>
      </c>
      <c r="AC78" s="3">
        <v>6</v>
      </c>
      <c r="AD78" s="8">
        <v>43617</v>
      </c>
    </row>
    <row r="79" spans="1:30" hidden="1" x14ac:dyDescent="0.35">
      <c r="A79" s="4" t="s">
        <v>34</v>
      </c>
      <c r="B79" s="2">
        <v>139.30000000000001</v>
      </c>
      <c r="C79" s="2">
        <v>162.69999999999999</v>
      </c>
      <c r="D79" s="2">
        <v>140</v>
      </c>
      <c r="E79" s="2">
        <v>144</v>
      </c>
      <c r="F79" s="2">
        <v>122.5</v>
      </c>
      <c r="G79" s="2">
        <v>150.30000000000001</v>
      </c>
      <c r="H79" s="2">
        <v>160.30000000000001</v>
      </c>
      <c r="I79" s="2">
        <v>130</v>
      </c>
      <c r="J79" s="2">
        <v>111.1</v>
      </c>
      <c r="K79" s="2">
        <v>141.69999999999999</v>
      </c>
      <c r="L79" s="2">
        <v>134.69999999999999</v>
      </c>
      <c r="M79" s="16">
        <v>156.19999999999999</v>
      </c>
      <c r="N79" s="2">
        <v>144.69999999999999</v>
      </c>
      <c r="O79" s="2">
        <v>165.2</v>
      </c>
      <c r="P79" s="2">
        <v>148.9</v>
      </c>
      <c r="Q79" s="2">
        <v>140.5</v>
      </c>
      <c r="R79" s="2">
        <v>147.6</v>
      </c>
      <c r="S79" s="2">
        <v>150.6</v>
      </c>
      <c r="T79" s="2">
        <v>139.30000000000001</v>
      </c>
      <c r="U79" s="2">
        <v>144.19999999999999</v>
      </c>
      <c r="V79" s="2">
        <v>147.9</v>
      </c>
      <c r="W79" s="2">
        <v>125.6</v>
      </c>
      <c r="X79" s="2">
        <v>140.5</v>
      </c>
      <c r="Y79" s="2">
        <v>154</v>
      </c>
      <c r="Z79" s="2">
        <v>135.69999999999999</v>
      </c>
      <c r="AA79" s="2">
        <v>139.5</v>
      </c>
      <c r="AB79" s="2">
        <v>144.19999999999999</v>
      </c>
      <c r="AC79" s="2">
        <v>7</v>
      </c>
      <c r="AD79" s="9">
        <v>43647</v>
      </c>
    </row>
    <row r="80" spans="1:30" hidden="1" x14ac:dyDescent="0.35">
      <c r="A80" s="5" t="s">
        <v>34</v>
      </c>
      <c r="B80" s="3">
        <v>140.1</v>
      </c>
      <c r="C80" s="3">
        <v>160.6</v>
      </c>
      <c r="D80" s="3">
        <v>138.5</v>
      </c>
      <c r="E80" s="3">
        <v>144.69999999999999</v>
      </c>
      <c r="F80" s="3">
        <v>122.9</v>
      </c>
      <c r="G80" s="3">
        <v>149.4</v>
      </c>
      <c r="H80" s="3">
        <v>167.4</v>
      </c>
      <c r="I80" s="3">
        <v>130.9</v>
      </c>
      <c r="J80" s="3">
        <v>112</v>
      </c>
      <c r="K80" s="3">
        <v>142.6</v>
      </c>
      <c r="L80" s="3">
        <v>134.9</v>
      </c>
      <c r="M80" s="15">
        <v>156.6</v>
      </c>
      <c r="N80" s="3">
        <v>145.9</v>
      </c>
      <c r="O80" s="3">
        <v>165.8</v>
      </c>
      <c r="P80" s="3">
        <v>149.1</v>
      </c>
      <c r="Q80" s="3">
        <v>140.6</v>
      </c>
      <c r="R80" s="3">
        <v>147.9</v>
      </c>
      <c r="S80" s="3">
        <v>151.6</v>
      </c>
      <c r="T80" s="3">
        <v>138.5</v>
      </c>
      <c r="U80" s="3">
        <v>144.5</v>
      </c>
      <c r="V80" s="3">
        <v>148.5</v>
      </c>
      <c r="W80" s="3">
        <v>125.8</v>
      </c>
      <c r="X80" s="3">
        <v>140.9</v>
      </c>
      <c r="Y80" s="3">
        <v>154.9</v>
      </c>
      <c r="Z80" s="3">
        <v>138.4</v>
      </c>
      <c r="AA80" s="3">
        <v>140.19999999999999</v>
      </c>
      <c r="AB80" s="3">
        <v>145</v>
      </c>
      <c r="AC80" s="3">
        <v>8</v>
      </c>
      <c r="AD80" s="8">
        <v>43678</v>
      </c>
    </row>
    <row r="81" spans="1:30" hidden="1" x14ac:dyDescent="0.35">
      <c r="A81" s="4" t="s">
        <v>34</v>
      </c>
      <c r="B81" s="2">
        <v>140.9</v>
      </c>
      <c r="C81" s="2">
        <v>160.80000000000001</v>
      </c>
      <c r="D81" s="2">
        <v>139.6</v>
      </c>
      <c r="E81" s="2">
        <v>145.4</v>
      </c>
      <c r="F81" s="2">
        <v>123.5</v>
      </c>
      <c r="G81" s="2">
        <v>146.6</v>
      </c>
      <c r="H81" s="2">
        <v>173.2</v>
      </c>
      <c r="I81" s="2">
        <v>131.6</v>
      </c>
      <c r="J81" s="2">
        <v>113.2</v>
      </c>
      <c r="K81" s="2">
        <v>144.1</v>
      </c>
      <c r="L81" s="2">
        <v>135</v>
      </c>
      <c r="M81" s="16">
        <v>156.80000000000001</v>
      </c>
      <c r="N81" s="2">
        <v>147</v>
      </c>
      <c r="O81" s="2">
        <v>166.5</v>
      </c>
      <c r="P81" s="2">
        <v>149.19999999999999</v>
      </c>
      <c r="Q81" s="2">
        <v>140.6</v>
      </c>
      <c r="R81" s="2">
        <v>147.9</v>
      </c>
      <c r="S81" s="2">
        <v>152.19999999999999</v>
      </c>
      <c r="T81" s="2">
        <v>139.19999999999999</v>
      </c>
      <c r="U81" s="2">
        <v>144.6</v>
      </c>
      <c r="V81" s="2">
        <v>149</v>
      </c>
      <c r="W81" s="2">
        <v>126.1</v>
      </c>
      <c r="X81" s="2">
        <v>141.30000000000001</v>
      </c>
      <c r="Y81" s="2">
        <v>155.19999999999999</v>
      </c>
      <c r="Z81" s="2">
        <v>139.69999999999999</v>
      </c>
      <c r="AA81" s="2">
        <v>140.69999999999999</v>
      </c>
      <c r="AB81" s="2">
        <v>145.80000000000001</v>
      </c>
      <c r="AC81" s="2">
        <v>9</v>
      </c>
      <c r="AD81" s="9">
        <v>43709</v>
      </c>
    </row>
    <row r="82" spans="1:30" hidden="1" x14ac:dyDescent="0.35">
      <c r="A82" s="5" t="s">
        <v>34</v>
      </c>
      <c r="B82" s="3">
        <v>141.80000000000001</v>
      </c>
      <c r="C82" s="3">
        <v>161</v>
      </c>
      <c r="D82" s="3">
        <v>142.6</v>
      </c>
      <c r="E82" s="3">
        <v>146.19999999999999</v>
      </c>
      <c r="F82" s="3">
        <v>123.9</v>
      </c>
      <c r="G82" s="3">
        <v>148</v>
      </c>
      <c r="H82" s="3">
        <v>188.4</v>
      </c>
      <c r="I82" s="3">
        <v>132.5</v>
      </c>
      <c r="J82" s="3">
        <v>114</v>
      </c>
      <c r="K82" s="3">
        <v>145.4</v>
      </c>
      <c r="L82" s="3">
        <v>135.1</v>
      </c>
      <c r="M82" s="15">
        <v>157.1</v>
      </c>
      <c r="N82" s="3">
        <v>149.6</v>
      </c>
      <c r="O82" s="3">
        <v>167.1</v>
      </c>
      <c r="P82" s="3">
        <v>149.4</v>
      </c>
      <c r="Q82" s="3">
        <v>140.80000000000001</v>
      </c>
      <c r="R82" s="3">
        <v>148.19999999999999</v>
      </c>
      <c r="S82" s="3">
        <v>153</v>
      </c>
      <c r="T82" s="3">
        <v>140.6</v>
      </c>
      <c r="U82" s="3">
        <v>145</v>
      </c>
      <c r="V82" s="3">
        <v>149.4</v>
      </c>
      <c r="W82" s="3">
        <v>126.3</v>
      </c>
      <c r="X82" s="3">
        <v>141.69999999999999</v>
      </c>
      <c r="Y82" s="3">
        <v>155.4</v>
      </c>
      <c r="Z82" s="3">
        <v>140</v>
      </c>
      <c r="AA82" s="3">
        <v>141</v>
      </c>
      <c r="AB82" s="3">
        <v>147.19999999999999</v>
      </c>
      <c r="AC82" s="3">
        <v>10</v>
      </c>
      <c r="AD82" s="8">
        <v>43739</v>
      </c>
    </row>
    <row r="83" spans="1:30" hidden="1" x14ac:dyDescent="0.35">
      <c r="A83" s="4" t="s">
        <v>34</v>
      </c>
      <c r="B83" s="2">
        <v>142.5</v>
      </c>
      <c r="C83" s="2">
        <v>163.19999999999999</v>
      </c>
      <c r="D83" s="2">
        <v>145.6</v>
      </c>
      <c r="E83" s="2">
        <v>146.69999999999999</v>
      </c>
      <c r="F83" s="2">
        <v>124.3</v>
      </c>
      <c r="G83" s="2">
        <v>147.4</v>
      </c>
      <c r="H83" s="2">
        <v>199.6</v>
      </c>
      <c r="I83" s="2">
        <v>135.69999999999999</v>
      </c>
      <c r="J83" s="2">
        <v>114.2</v>
      </c>
      <c r="K83" s="2">
        <v>147</v>
      </c>
      <c r="L83" s="2">
        <v>135.30000000000001</v>
      </c>
      <c r="M83" s="16">
        <v>157.5</v>
      </c>
      <c r="N83" s="2">
        <v>151.9</v>
      </c>
      <c r="O83" s="2">
        <v>167.9</v>
      </c>
      <c r="P83" s="2">
        <v>149.9</v>
      </c>
      <c r="Q83" s="2">
        <v>141</v>
      </c>
      <c r="R83" s="2">
        <v>148.6</v>
      </c>
      <c r="S83" s="2">
        <v>153.5</v>
      </c>
      <c r="T83" s="2">
        <v>142.30000000000001</v>
      </c>
      <c r="U83" s="2">
        <v>145.30000000000001</v>
      </c>
      <c r="V83" s="2">
        <v>149.9</v>
      </c>
      <c r="W83" s="2">
        <v>126.6</v>
      </c>
      <c r="X83" s="2">
        <v>142.1</v>
      </c>
      <c r="Y83" s="2">
        <v>155.5</v>
      </c>
      <c r="Z83" s="2">
        <v>140.30000000000001</v>
      </c>
      <c r="AA83" s="2">
        <v>141.30000000000001</v>
      </c>
      <c r="AB83" s="2">
        <v>148.6</v>
      </c>
      <c r="AC83" s="2">
        <v>11</v>
      </c>
      <c r="AD83" s="9">
        <v>43770</v>
      </c>
    </row>
    <row r="84" spans="1:30" hidden="1" x14ac:dyDescent="0.35">
      <c r="A84" s="5" t="s">
        <v>34</v>
      </c>
      <c r="B84" s="3">
        <v>143.5</v>
      </c>
      <c r="C84" s="3">
        <v>165</v>
      </c>
      <c r="D84" s="3">
        <v>151.1</v>
      </c>
      <c r="E84" s="3">
        <v>148.30000000000001</v>
      </c>
      <c r="F84" s="3">
        <v>125.7</v>
      </c>
      <c r="G84" s="3">
        <v>145.69999999999999</v>
      </c>
      <c r="H84" s="3">
        <v>217</v>
      </c>
      <c r="I84" s="3">
        <v>138.30000000000001</v>
      </c>
      <c r="J84" s="3">
        <v>114</v>
      </c>
      <c r="K84" s="3">
        <v>148.69999999999999</v>
      </c>
      <c r="L84" s="3">
        <v>135.80000000000001</v>
      </c>
      <c r="M84" s="15">
        <v>158</v>
      </c>
      <c r="N84" s="3">
        <v>155</v>
      </c>
      <c r="O84" s="3">
        <v>168.5</v>
      </c>
      <c r="P84" s="3">
        <v>150.30000000000001</v>
      </c>
      <c r="Q84" s="3">
        <v>141.30000000000001</v>
      </c>
      <c r="R84" s="3">
        <v>149</v>
      </c>
      <c r="S84" s="3">
        <v>152.80000000000001</v>
      </c>
      <c r="T84" s="3">
        <v>143.69999999999999</v>
      </c>
      <c r="U84" s="3">
        <v>145.80000000000001</v>
      </c>
      <c r="V84" s="3">
        <v>150.4</v>
      </c>
      <c r="W84" s="3">
        <v>129.80000000000001</v>
      </c>
      <c r="X84" s="3">
        <v>142.30000000000001</v>
      </c>
      <c r="Y84" s="3">
        <v>155.69999999999999</v>
      </c>
      <c r="Z84" s="3">
        <v>140.4</v>
      </c>
      <c r="AA84" s="3">
        <v>142.5</v>
      </c>
      <c r="AB84" s="3">
        <v>150.4</v>
      </c>
      <c r="AC84" s="3">
        <v>12</v>
      </c>
      <c r="AD84" s="8">
        <v>43800</v>
      </c>
    </row>
    <row r="85" spans="1:30" hidden="1" x14ac:dyDescent="0.35">
      <c r="A85" s="4" t="s">
        <v>34</v>
      </c>
      <c r="B85" s="2">
        <v>144.30000000000001</v>
      </c>
      <c r="C85" s="2">
        <v>167.4</v>
      </c>
      <c r="D85" s="2">
        <v>154.9</v>
      </c>
      <c r="E85" s="2">
        <v>150.1</v>
      </c>
      <c r="F85" s="2">
        <v>129.9</v>
      </c>
      <c r="G85" s="2">
        <v>143.19999999999999</v>
      </c>
      <c r="H85" s="2">
        <v>197</v>
      </c>
      <c r="I85" s="2">
        <v>140.4</v>
      </c>
      <c r="J85" s="2">
        <v>114.1</v>
      </c>
      <c r="K85" s="2">
        <v>150.9</v>
      </c>
      <c r="L85" s="2">
        <v>136.1</v>
      </c>
      <c r="M85" s="16">
        <v>158.6</v>
      </c>
      <c r="N85" s="2">
        <v>153.5</v>
      </c>
      <c r="O85" s="2">
        <v>169.2</v>
      </c>
      <c r="P85" s="2">
        <v>150.5</v>
      </c>
      <c r="Q85" s="2">
        <v>141.5</v>
      </c>
      <c r="R85" s="2">
        <v>149.19999999999999</v>
      </c>
      <c r="S85" s="2">
        <v>153.9</v>
      </c>
      <c r="T85" s="2">
        <v>144.6</v>
      </c>
      <c r="U85" s="2">
        <v>146.19999999999999</v>
      </c>
      <c r="V85" s="2">
        <v>151.19999999999999</v>
      </c>
      <c r="W85" s="2">
        <v>130.9</v>
      </c>
      <c r="X85" s="2">
        <v>142.80000000000001</v>
      </c>
      <c r="Y85" s="2">
        <v>156.1</v>
      </c>
      <c r="Z85" s="2">
        <v>142.30000000000001</v>
      </c>
      <c r="AA85" s="2">
        <v>143.4</v>
      </c>
      <c r="AB85" s="2">
        <v>150.19999999999999</v>
      </c>
      <c r="AC85" s="2">
        <v>1</v>
      </c>
      <c r="AD85" s="9">
        <v>43831</v>
      </c>
    </row>
    <row r="86" spans="1:30" hidden="1" x14ac:dyDescent="0.35">
      <c r="A86" s="5" t="s">
        <v>34</v>
      </c>
      <c r="B86" s="3">
        <v>144.80000000000001</v>
      </c>
      <c r="C86" s="3">
        <v>167.5</v>
      </c>
      <c r="D86" s="3">
        <v>151.80000000000001</v>
      </c>
      <c r="E86" s="3">
        <v>150.80000000000001</v>
      </c>
      <c r="F86" s="3">
        <v>131.4</v>
      </c>
      <c r="G86" s="3">
        <v>141.80000000000001</v>
      </c>
      <c r="H86" s="3">
        <v>170.7</v>
      </c>
      <c r="I86" s="3">
        <v>141.1</v>
      </c>
      <c r="J86" s="3">
        <v>113.6</v>
      </c>
      <c r="K86" s="3">
        <v>152</v>
      </c>
      <c r="L86" s="3">
        <v>136.5</v>
      </c>
      <c r="M86" s="15">
        <v>159.1</v>
      </c>
      <c r="N86" s="3">
        <v>150.5</v>
      </c>
      <c r="O86" s="3">
        <v>170.1</v>
      </c>
      <c r="P86" s="3">
        <v>150.80000000000001</v>
      </c>
      <c r="Q86" s="3">
        <v>141.69999999999999</v>
      </c>
      <c r="R86" s="3">
        <v>149.5</v>
      </c>
      <c r="S86" s="3">
        <v>154.80000000000001</v>
      </c>
      <c r="T86" s="3">
        <v>147.19999999999999</v>
      </c>
      <c r="U86" s="3">
        <v>146.4</v>
      </c>
      <c r="V86" s="3">
        <v>151.69999999999999</v>
      </c>
      <c r="W86" s="3">
        <v>130.30000000000001</v>
      </c>
      <c r="X86" s="3">
        <v>143.19999999999999</v>
      </c>
      <c r="Y86" s="3">
        <v>156.19999999999999</v>
      </c>
      <c r="Z86" s="3">
        <v>143.4</v>
      </c>
      <c r="AA86" s="3">
        <v>143.6</v>
      </c>
      <c r="AB86" s="3">
        <v>149.1</v>
      </c>
      <c r="AC86" s="3">
        <v>2</v>
      </c>
      <c r="AD86" s="8">
        <v>43862</v>
      </c>
    </row>
    <row r="87" spans="1:30" hidden="1" x14ac:dyDescent="0.35">
      <c r="A87" s="4" t="s">
        <v>34</v>
      </c>
      <c r="B87" s="2">
        <v>145.1</v>
      </c>
      <c r="C87" s="2">
        <v>167</v>
      </c>
      <c r="D87" s="2">
        <v>148.1</v>
      </c>
      <c r="E87" s="2">
        <v>151.5</v>
      </c>
      <c r="F87" s="2">
        <v>131.19999999999999</v>
      </c>
      <c r="G87" s="2">
        <v>142.5</v>
      </c>
      <c r="H87" s="2">
        <v>157.30000000000001</v>
      </c>
      <c r="I87" s="2">
        <v>141.1</v>
      </c>
      <c r="J87" s="2">
        <v>113.2</v>
      </c>
      <c r="K87" s="2">
        <v>153.19999999999999</v>
      </c>
      <c r="L87" s="2">
        <v>136.69999999999999</v>
      </c>
      <c r="M87" s="16">
        <v>159.6</v>
      </c>
      <c r="N87" s="2">
        <v>148.9</v>
      </c>
      <c r="O87" s="2">
        <v>171.2</v>
      </c>
      <c r="P87" s="2">
        <v>151.19999999999999</v>
      </c>
      <c r="Q87" s="2">
        <v>141.9</v>
      </c>
      <c r="R87" s="2">
        <v>149.80000000000001</v>
      </c>
      <c r="S87" s="2">
        <v>154.5</v>
      </c>
      <c r="T87" s="2">
        <v>148.9</v>
      </c>
      <c r="U87" s="2">
        <v>146.4</v>
      </c>
      <c r="V87" s="2">
        <v>152.30000000000001</v>
      </c>
      <c r="W87" s="2">
        <v>129.9</v>
      </c>
      <c r="X87" s="2">
        <v>143.69999999999999</v>
      </c>
      <c r="Y87" s="2">
        <v>156.1</v>
      </c>
      <c r="Z87" s="2">
        <v>145.19999999999999</v>
      </c>
      <c r="AA87" s="2">
        <v>143.80000000000001</v>
      </c>
      <c r="AB87" s="2">
        <v>148.6</v>
      </c>
      <c r="AC87" s="2">
        <v>3</v>
      </c>
      <c r="AD87" s="9">
        <v>43891</v>
      </c>
    </row>
    <row r="88" spans="1:30" hidden="1" x14ac:dyDescent="0.35">
      <c r="A88" s="5" t="s">
        <v>34</v>
      </c>
      <c r="B88" s="3">
        <v>148.69999999999999</v>
      </c>
      <c r="C88" s="3">
        <v>179.85</v>
      </c>
      <c r="D88" s="3">
        <v>148.80000000000001</v>
      </c>
      <c r="E88" s="3">
        <v>155.6</v>
      </c>
      <c r="F88" s="3">
        <v>135.1</v>
      </c>
      <c r="G88" s="3">
        <v>149.9</v>
      </c>
      <c r="H88" s="3">
        <v>168.6</v>
      </c>
      <c r="I88" s="3">
        <v>150.4</v>
      </c>
      <c r="J88" s="3">
        <v>120.3</v>
      </c>
      <c r="K88" s="3">
        <v>157.1</v>
      </c>
      <c r="L88" s="3">
        <v>136.80000000000001</v>
      </c>
      <c r="M88" s="15">
        <v>160.69999999999999</v>
      </c>
      <c r="N88" s="3">
        <v>151.4</v>
      </c>
      <c r="O88" s="3">
        <v>177.35</v>
      </c>
      <c r="P88" s="3">
        <v>151.85</v>
      </c>
      <c r="Q88" s="3">
        <v>143.15</v>
      </c>
      <c r="R88" s="3">
        <v>150.6</v>
      </c>
      <c r="S88" s="3">
        <v>155.6</v>
      </c>
      <c r="T88" s="3">
        <v>144.1</v>
      </c>
      <c r="U88" s="3">
        <v>146.4</v>
      </c>
      <c r="V88" s="3">
        <v>150.69999999999999</v>
      </c>
      <c r="W88" s="3">
        <v>132.44999999999999</v>
      </c>
      <c r="X88" s="3">
        <v>146</v>
      </c>
      <c r="Y88" s="3">
        <v>156.25</v>
      </c>
      <c r="Z88" s="3">
        <v>148.4</v>
      </c>
      <c r="AA88" s="3">
        <v>145.4</v>
      </c>
      <c r="AB88" s="3">
        <v>150.19999999999999</v>
      </c>
      <c r="AC88" s="3">
        <v>4</v>
      </c>
      <c r="AD88" s="8">
        <v>43922</v>
      </c>
    </row>
    <row r="89" spans="1:30" hidden="1" x14ac:dyDescent="0.35">
      <c r="A89" s="4" t="s">
        <v>34</v>
      </c>
      <c r="B89" s="2">
        <v>149.15</v>
      </c>
      <c r="C89" s="2">
        <v>186.28</v>
      </c>
      <c r="D89" s="2">
        <v>150.1</v>
      </c>
      <c r="E89" s="2">
        <v>154.44999999999999</v>
      </c>
      <c r="F89" s="2">
        <v>135.54</v>
      </c>
      <c r="G89" s="2">
        <v>148.19</v>
      </c>
      <c r="H89" s="2">
        <v>162.55000000000001</v>
      </c>
      <c r="I89" s="2">
        <v>150.65</v>
      </c>
      <c r="J89" s="2">
        <v>117.25</v>
      </c>
      <c r="K89" s="2">
        <v>156.4</v>
      </c>
      <c r="L89" s="2">
        <v>138.1</v>
      </c>
      <c r="M89" s="16">
        <v>161.25</v>
      </c>
      <c r="N89" s="2">
        <v>152.69999999999999</v>
      </c>
      <c r="O89" s="2">
        <v>180.43</v>
      </c>
      <c r="P89" s="2">
        <v>152.18</v>
      </c>
      <c r="Q89" s="2">
        <v>143.78</v>
      </c>
      <c r="R89" s="2">
        <v>151</v>
      </c>
      <c r="S89" s="2">
        <v>139.19999999999999</v>
      </c>
      <c r="T89" s="2">
        <v>143</v>
      </c>
      <c r="U89" s="2">
        <v>146.4</v>
      </c>
      <c r="V89" s="2">
        <v>152.55000000000001</v>
      </c>
      <c r="W89" s="2">
        <v>133.72999999999999</v>
      </c>
      <c r="X89" s="2">
        <v>147.15</v>
      </c>
      <c r="Y89" s="2">
        <v>156.33000000000001</v>
      </c>
      <c r="Z89" s="2">
        <v>150</v>
      </c>
      <c r="AA89" s="2">
        <v>146.19999999999999</v>
      </c>
      <c r="AB89" s="2">
        <v>151</v>
      </c>
      <c r="AC89" s="2">
        <v>5</v>
      </c>
      <c r="AD89" s="9">
        <v>43952</v>
      </c>
    </row>
    <row r="90" spans="1:30" hidden="1" x14ac:dyDescent="0.35">
      <c r="A90" s="5" t="s">
        <v>34</v>
      </c>
      <c r="B90" s="3">
        <v>149.6</v>
      </c>
      <c r="C90" s="3">
        <v>192.7</v>
      </c>
      <c r="D90" s="3">
        <v>151.4</v>
      </c>
      <c r="E90" s="3">
        <v>153.30000000000001</v>
      </c>
      <c r="F90" s="3">
        <v>136.30000000000001</v>
      </c>
      <c r="G90" s="3">
        <v>147.19999999999999</v>
      </c>
      <c r="H90" s="3">
        <v>156.5</v>
      </c>
      <c r="I90" s="3">
        <v>150.9</v>
      </c>
      <c r="J90" s="3">
        <v>114.2</v>
      </c>
      <c r="K90" s="3">
        <v>159.5</v>
      </c>
      <c r="L90" s="3">
        <v>139.4</v>
      </c>
      <c r="M90" s="15">
        <v>161.80000000000001</v>
      </c>
      <c r="N90" s="3">
        <v>154</v>
      </c>
      <c r="O90" s="3">
        <v>183.5</v>
      </c>
      <c r="P90" s="3">
        <v>152.5</v>
      </c>
      <c r="Q90" s="3">
        <v>144.4</v>
      </c>
      <c r="R90" s="3">
        <v>151.4</v>
      </c>
      <c r="S90" s="3">
        <v>154.69999999999999</v>
      </c>
      <c r="T90" s="3">
        <v>141.9</v>
      </c>
      <c r="U90" s="3">
        <v>146.4</v>
      </c>
      <c r="V90" s="3">
        <v>154.4</v>
      </c>
      <c r="W90" s="3">
        <v>135</v>
      </c>
      <c r="X90" s="3">
        <v>148.30000000000001</v>
      </c>
      <c r="Y90" s="3">
        <v>156.4</v>
      </c>
      <c r="Z90" s="3">
        <v>151.6</v>
      </c>
      <c r="AA90" s="3">
        <v>147</v>
      </c>
      <c r="AB90" s="3">
        <v>151.80000000000001</v>
      </c>
      <c r="AC90" s="3">
        <v>6</v>
      </c>
      <c r="AD90" s="8">
        <v>43983</v>
      </c>
    </row>
    <row r="91" spans="1:30" hidden="1" x14ac:dyDescent="0.35">
      <c r="A91" s="4" t="s">
        <v>34</v>
      </c>
      <c r="B91" s="2">
        <v>149.6</v>
      </c>
      <c r="C91" s="2">
        <v>192.7</v>
      </c>
      <c r="D91" s="2">
        <v>151.4</v>
      </c>
      <c r="E91" s="2">
        <v>153.30000000000001</v>
      </c>
      <c r="F91" s="2">
        <v>136.30000000000001</v>
      </c>
      <c r="G91" s="2">
        <v>147.19999999999999</v>
      </c>
      <c r="H91" s="2">
        <v>156.5</v>
      </c>
      <c r="I91" s="2">
        <v>150.9</v>
      </c>
      <c r="J91" s="2">
        <v>114.2</v>
      </c>
      <c r="K91" s="2">
        <v>159.5</v>
      </c>
      <c r="L91" s="2">
        <v>139.4</v>
      </c>
      <c r="M91" s="16">
        <v>161.80000000000001</v>
      </c>
      <c r="N91" s="2">
        <v>154</v>
      </c>
      <c r="O91" s="2">
        <v>183.5</v>
      </c>
      <c r="P91" s="2">
        <v>152.5</v>
      </c>
      <c r="Q91" s="2">
        <v>144.4</v>
      </c>
      <c r="R91" s="2">
        <v>151.4</v>
      </c>
      <c r="S91" s="2">
        <v>154.69999999999999</v>
      </c>
      <c r="T91" s="2">
        <v>141.9</v>
      </c>
      <c r="U91" s="2">
        <v>146.4</v>
      </c>
      <c r="V91" s="2">
        <v>154.4</v>
      </c>
      <c r="W91" s="2">
        <v>135</v>
      </c>
      <c r="X91" s="2">
        <v>148.30000000000001</v>
      </c>
      <c r="Y91" s="2">
        <v>156.4</v>
      </c>
      <c r="Z91" s="2">
        <v>151.6</v>
      </c>
      <c r="AA91" s="2">
        <v>147</v>
      </c>
      <c r="AB91" s="2">
        <v>151.80000000000001</v>
      </c>
      <c r="AC91" s="2">
        <v>7</v>
      </c>
      <c r="AD91" s="9">
        <v>44013</v>
      </c>
    </row>
    <row r="92" spans="1:30" hidden="1" x14ac:dyDescent="0.35">
      <c r="A92" s="5" t="s">
        <v>34</v>
      </c>
      <c r="B92" s="3">
        <v>148.9</v>
      </c>
      <c r="C92" s="3">
        <v>190.9</v>
      </c>
      <c r="D92" s="3">
        <v>150.80000000000001</v>
      </c>
      <c r="E92" s="3">
        <v>153.30000000000001</v>
      </c>
      <c r="F92" s="3">
        <v>137.4</v>
      </c>
      <c r="G92" s="3">
        <v>150.4</v>
      </c>
      <c r="H92" s="3">
        <v>178.1</v>
      </c>
      <c r="I92" s="3">
        <v>150.4</v>
      </c>
      <c r="J92" s="3">
        <v>115.1</v>
      </c>
      <c r="K92" s="3">
        <v>160</v>
      </c>
      <c r="L92" s="3">
        <v>140.6</v>
      </c>
      <c r="M92" s="15">
        <v>162.30000000000001</v>
      </c>
      <c r="N92" s="3">
        <v>157</v>
      </c>
      <c r="O92" s="3">
        <v>182.6</v>
      </c>
      <c r="P92" s="3">
        <v>153.1</v>
      </c>
      <c r="Q92" s="3">
        <v>143.4</v>
      </c>
      <c r="R92" s="3">
        <v>151.69999999999999</v>
      </c>
      <c r="S92" s="3">
        <v>155.5</v>
      </c>
      <c r="T92" s="3">
        <v>143</v>
      </c>
      <c r="U92" s="3">
        <v>148.4</v>
      </c>
      <c r="V92" s="3">
        <v>155</v>
      </c>
      <c r="W92" s="3">
        <v>138.5</v>
      </c>
      <c r="X92" s="3">
        <v>146</v>
      </c>
      <c r="Y92" s="3">
        <v>158.5</v>
      </c>
      <c r="Z92" s="3">
        <v>154.30000000000001</v>
      </c>
      <c r="AA92" s="3">
        <v>149</v>
      </c>
      <c r="AB92" s="3">
        <v>153.9</v>
      </c>
      <c r="AC92" s="3">
        <v>8</v>
      </c>
      <c r="AD92" s="8">
        <v>44044</v>
      </c>
    </row>
    <row r="93" spans="1:30" hidden="1" x14ac:dyDescent="0.35">
      <c r="A93" s="4" t="s">
        <v>34</v>
      </c>
      <c r="B93" s="2">
        <v>148.4</v>
      </c>
      <c r="C93" s="2">
        <v>187.1</v>
      </c>
      <c r="D93" s="2">
        <v>152.5</v>
      </c>
      <c r="E93" s="2">
        <v>153.6</v>
      </c>
      <c r="F93" s="2">
        <v>138.19999999999999</v>
      </c>
      <c r="G93" s="2">
        <v>150.9</v>
      </c>
      <c r="H93" s="2">
        <v>186.7</v>
      </c>
      <c r="I93" s="2">
        <v>149.80000000000001</v>
      </c>
      <c r="J93" s="2">
        <v>116.4</v>
      </c>
      <c r="K93" s="2">
        <v>160.30000000000001</v>
      </c>
      <c r="L93" s="2">
        <v>142.19999999999999</v>
      </c>
      <c r="M93" s="16">
        <v>162.9</v>
      </c>
      <c r="N93" s="2">
        <v>158</v>
      </c>
      <c r="O93" s="2">
        <v>184.4</v>
      </c>
      <c r="P93" s="2">
        <v>153.4</v>
      </c>
      <c r="Q93" s="2">
        <v>144.30000000000001</v>
      </c>
      <c r="R93" s="2">
        <v>152</v>
      </c>
      <c r="S93" s="2">
        <v>156.30000000000001</v>
      </c>
      <c r="T93" s="2">
        <v>142.9</v>
      </c>
      <c r="U93" s="2">
        <v>148.69999999999999</v>
      </c>
      <c r="V93" s="2">
        <v>155.6</v>
      </c>
      <c r="W93" s="2">
        <v>139.6</v>
      </c>
      <c r="X93" s="2">
        <v>146.6</v>
      </c>
      <c r="Y93" s="2">
        <v>157.5</v>
      </c>
      <c r="Z93" s="2">
        <v>158.4</v>
      </c>
      <c r="AA93" s="2">
        <v>150</v>
      </c>
      <c r="AB93" s="2">
        <v>154.69999999999999</v>
      </c>
      <c r="AC93" s="2">
        <v>9</v>
      </c>
      <c r="AD93" s="9">
        <v>44075</v>
      </c>
    </row>
    <row r="94" spans="1:30" hidden="1" x14ac:dyDescent="0.35">
      <c r="A94" s="5" t="s">
        <v>34</v>
      </c>
      <c r="B94" s="3">
        <v>147.5</v>
      </c>
      <c r="C94" s="3">
        <v>188.9</v>
      </c>
      <c r="D94" s="3">
        <v>161.4</v>
      </c>
      <c r="E94" s="3">
        <v>153.6</v>
      </c>
      <c r="F94" s="3">
        <v>140.1</v>
      </c>
      <c r="G94" s="3">
        <v>151.19999999999999</v>
      </c>
      <c r="H94" s="3">
        <v>209.2</v>
      </c>
      <c r="I94" s="3">
        <v>150.9</v>
      </c>
      <c r="J94" s="3">
        <v>116.2</v>
      </c>
      <c r="K94" s="3">
        <v>161</v>
      </c>
      <c r="L94" s="3">
        <v>144</v>
      </c>
      <c r="M94" s="15">
        <v>163.19999999999999</v>
      </c>
      <c r="N94" s="3">
        <v>161.4</v>
      </c>
      <c r="O94" s="3">
        <v>184.3</v>
      </c>
      <c r="P94" s="3">
        <v>153.69999999999999</v>
      </c>
      <c r="Q94" s="3">
        <v>144.6</v>
      </c>
      <c r="R94" s="3">
        <v>152.30000000000001</v>
      </c>
      <c r="S94" s="3">
        <v>156.5</v>
      </c>
      <c r="T94" s="3">
        <v>143.1</v>
      </c>
      <c r="U94" s="3">
        <v>148.69999999999999</v>
      </c>
      <c r="V94" s="3">
        <v>156.30000000000001</v>
      </c>
      <c r="W94" s="3">
        <v>140.6</v>
      </c>
      <c r="X94" s="3">
        <v>146.5</v>
      </c>
      <c r="Y94" s="3">
        <v>158.5</v>
      </c>
      <c r="Z94" s="3">
        <v>157</v>
      </c>
      <c r="AA94" s="3">
        <v>150.4</v>
      </c>
      <c r="AB94" s="3">
        <v>156.4</v>
      </c>
      <c r="AC94" s="3">
        <v>10</v>
      </c>
      <c r="AD94" s="8">
        <v>44105</v>
      </c>
    </row>
    <row r="95" spans="1:30" hidden="1" x14ac:dyDescent="0.35">
      <c r="A95" s="4" t="s">
        <v>34</v>
      </c>
      <c r="B95" s="2">
        <v>146.80000000000001</v>
      </c>
      <c r="C95" s="2">
        <v>191</v>
      </c>
      <c r="D95" s="2">
        <v>173.6</v>
      </c>
      <c r="E95" s="2">
        <v>153.80000000000001</v>
      </c>
      <c r="F95" s="2">
        <v>142.69999999999999</v>
      </c>
      <c r="G95" s="2">
        <v>148.4</v>
      </c>
      <c r="H95" s="2">
        <v>230</v>
      </c>
      <c r="I95" s="2">
        <v>156.80000000000001</v>
      </c>
      <c r="J95" s="2">
        <v>115.7</v>
      </c>
      <c r="K95" s="2">
        <v>161.80000000000001</v>
      </c>
      <c r="L95" s="2">
        <v>146.5</v>
      </c>
      <c r="M95" s="16">
        <v>163.80000000000001</v>
      </c>
      <c r="N95" s="2">
        <v>164.7</v>
      </c>
      <c r="O95" s="2">
        <v>184.8</v>
      </c>
      <c r="P95" s="2">
        <v>154.30000000000001</v>
      </c>
      <c r="Q95" s="2">
        <v>144.9</v>
      </c>
      <c r="R95" s="2">
        <v>152.80000000000001</v>
      </c>
      <c r="S95" s="2">
        <v>158</v>
      </c>
      <c r="T95" s="2">
        <v>143.6</v>
      </c>
      <c r="U95" s="2">
        <v>149.19999999999999</v>
      </c>
      <c r="V95" s="2">
        <v>157.19999999999999</v>
      </c>
      <c r="W95" s="2">
        <v>140.4</v>
      </c>
      <c r="X95" s="2">
        <v>148.4</v>
      </c>
      <c r="Y95" s="2">
        <v>158.6</v>
      </c>
      <c r="Z95" s="2">
        <v>156.9</v>
      </c>
      <c r="AA95" s="2">
        <v>150.69999999999999</v>
      </c>
      <c r="AB95" s="2">
        <v>158.4</v>
      </c>
      <c r="AC95" s="2">
        <v>11</v>
      </c>
      <c r="AD95" s="9">
        <v>44136</v>
      </c>
    </row>
    <row r="96" spans="1:30" hidden="1" x14ac:dyDescent="0.35">
      <c r="A96" s="5" t="s">
        <v>34</v>
      </c>
      <c r="B96" s="3">
        <v>146</v>
      </c>
      <c r="C96" s="3">
        <v>191</v>
      </c>
      <c r="D96" s="3">
        <v>175.3</v>
      </c>
      <c r="E96" s="3">
        <v>154.1</v>
      </c>
      <c r="F96" s="3">
        <v>146.6</v>
      </c>
      <c r="G96" s="3">
        <v>147.69999999999999</v>
      </c>
      <c r="H96" s="3">
        <v>230.5</v>
      </c>
      <c r="I96" s="3">
        <v>160.19999999999999</v>
      </c>
      <c r="J96" s="3">
        <v>115.3</v>
      </c>
      <c r="K96" s="3">
        <v>163</v>
      </c>
      <c r="L96" s="3">
        <v>149.19999999999999</v>
      </c>
      <c r="M96" s="15">
        <v>164.8</v>
      </c>
      <c r="N96" s="3">
        <v>165.4</v>
      </c>
      <c r="O96" s="3">
        <v>185.4</v>
      </c>
      <c r="P96" s="3">
        <v>155</v>
      </c>
      <c r="Q96" s="3">
        <v>145.4</v>
      </c>
      <c r="R96" s="3">
        <v>153.6</v>
      </c>
      <c r="S96" s="3">
        <v>158.4</v>
      </c>
      <c r="T96" s="3">
        <v>144.6</v>
      </c>
      <c r="U96" s="3">
        <v>149.69999999999999</v>
      </c>
      <c r="V96" s="3">
        <v>158.30000000000001</v>
      </c>
      <c r="W96" s="3">
        <v>140.69999999999999</v>
      </c>
      <c r="X96" s="3">
        <v>148.5</v>
      </c>
      <c r="Y96" s="3">
        <v>159.4</v>
      </c>
      <c r="Z96" s="3">
        <v>157.1</v>
      </c>
      <c r="AA96" s="3">
        <v>151.19999999999999</v>
      </c>
      <c r="AB96" s="3">
        <v>158.9</v>
      </c>
      <c r="AC96" s="3">
        <v>12</v>
      </c>
      <c r="AD96" s="8">
        <v>44166</v>
      </c>
    </row>
    <row r="97" spans="1:30" x14ac:dyDescent="0.35">
      <c r="A97" s="4" t="s">
        <v>34</v>
      </c>
      <c r="B97" s="2">
        <v>144.9</v>
      </c>
      <c r="C97" s="2">
        <v>190.1</v>
      </c>
      <c r="D97" s="2">
        <v>175.3</v>
      </c>
      <c r="E97" s="2">
        <v>154.1</v>
      </c>
      <c r="F97" s="2">
        <v>150.9</v>
      </c>
      <c r="G97" s="2">
        <v>149.6</v>
      </c>
      <c r="H97" s="2">
        <v>194.2</v>
      </c>
      <c r="I97" s="2">
        <v>160.4</v>
      </c>
      <c r="J97" s="2">
        <v>114.6</v>
      </c>
      <c r="K97" s="2">
        <v>164</v>
      </c>
      <c r="L97" s="2">
        <v>151.80000000000001</v>
      </c>
      <c r="M97" s="16">
        <v>165.6</v>
      </c>
      <c r="N97" s="2">
        <v>161</v>
      </c>
      <c r="O97" s="2">
        <v>186.5</v>
      </c>
      <c r="P97" s="2">
        <v>155.5</v>
      </c>
      <c r="Q97" s="2">
        <v>146.1</v>
      </c>
      <c r="R97" s="2">
        <v>154.19999999999999</v>
      </c>
      <c r="S97" s="2">
        <v>157.69999999999999</v>
      </c>
      <c r="T97" s="2">
        <v>147.9</v>
      </c>
      <c r="U97" s="2">
        <v>150</v>
      </c>
      <c r="V97" s="2">
        <v>159.30000000000001</v>
      </c>
      <c r="W97" s="2">
        <v>141.9</v>
      </c>
      <c r="X97" s="2">
        <v>149.6</v>
      </c>
      <c r="Y97" s="2">
        <v>159.19999999999999</v>
      </c>
      <c r="Z97" s="2">
        <v>156.80000000000001</v>
      </c>
      <c r="AA97" s="2">
        <v>151.9</v>
      </c>
      <c r="AB97" s="2">
        <v>157.30000000000001</v>
      </c>
      <c r="AC97" s="2">
        <v>1</v>
      </c>
      <c r="AD97" s="9">
        <v>44197</v>
      </c>
    </row>
    <row r="98" spans="1:30" x14ac:dyDescent="0.35">
      <c r="A98" s="5" t="s">
        <v>34</v>
      </c>
      <c r="B98" s="3">
        <v>144.30000000000001</v>
      </c>
      <c r="C98" s="3">
        <v>186.5</v>
      </c>
      <c r="D98" s="3">
        <v>168.7</v>
      </c>
      <c r="E98" s="3">
        <v>154.69999999999999</v>
      </c>
      <c r="F98" s="3">
        <v>158.69999999999999</v>
      </c>
      <c r="G98" s="3">
        <v>150.69999999999999</v>
      </c>
      <c r="H98" s="3">
        <v>160</v>
      </c>
      <c r="I98" s="3">
        <v>158.80000000000001</v>
      </c>
      <c r="J98" s="3">
        <v>112.8</v>
      </c>
      <c r="K98" s="3">
        <v>164.2</v>
      </c>
      <c r="L98" s="3">
        <v>155.5</v>
      </c>
      <c r="M98" s="15">
        <v>167.5</v>
      </c>
      <c r="N98" s="3">
        <v>156.9</v>
      </c>
      <c r="O98" s="3">
        <v>188.3</v>
      </c>
      <c r="P98" s="3">
        <v>157.19999999999999</v>
      </c>
      <c r="Q98" s="3">
        <v>147.4</v>
      </c>
      <c r="R98" s="3">
        <v>155.80000000000001</v>
      </c>
      <c r="S98" s="3">
        <v>159.80000000000001</v>
      </c>
      <c r="T98" s="3">
        <v>152.4</v>
      </c>
      <c r="U98" s="3">
        <v>150.9</v>
      </c>
      <c r="V98" s="3">
        <v>161.30000000000001</v>
      </c>
      <c r="W98" s="3">
        <v>145.1</v>
      </c>
      <c r="X98" s="3">
        <v>151.5</v>
      </c>
      <c r="Y98" s="3">
        <v>159.5</v>
      </c>
      <c r="Z98" s="3">
        <v>155.80000000000001</v>
      </c>
      <c r="AA98" s="3">
        <v>153.4</v>
      </c>
      <c r="AB98" s="3">
        <v>156.6</v>
      </c>
      <c r="AC98" s="3">
        <v>2</v>
      </c>
      <c r="AD98" s="8">
        <v>44228</v>
      </c>
    </row>
    <row r="99" spans="1:30" x14ac:dyDescent="0.35">
      <c r="A99" s="4" t="s">
        <v>34</v>
      </c>
      <c r="B99" s="2">
        <v>144.1</v>
      </c>
      <c r="C99" s="2">
        <v>192.2</v>
      </c>
      <c r="D99" s="2">
        <v>163.80000000000001</v>
      </c>
      <c r="E99" s="2">
        <v>154.9</v>
      </c>
      <c r="F99" s="2">
        <v>163.9</v>
      </c>
      <c r="G99" s="2">
        <v>153.69999999999999</v>
      </c>
      <c r="H99" s="2">
        <v>149.5</v>
      </c>
      <c r="I99" s="2">
        <v>159.80000000000001</v>
      </c>
      <c r="J99" s="2">
        <v>112.6</v>
      </c>
      <c r="K99" s="2">
        <v>163.5</v>
      </c>
      <c r="L99" s="2">
        <v>156.5</v>
      </c>
      <c r="M99" s="16">
        <v>168.2</v>
      </c>
      <c r="N99" s="2">
        <v>156.69999999999999</v>
      </c>
      <c r="O99" s="2">
        <v>188.1</v>
      </c>
      <c r="P99" s="2">
        <v>157.80000000000001</v>
      </c>
      <c r="Q99" s="2">
        <v>147.9</v>
      </c>
      <c r="R99" s="2">
        <v>156.4</v>
      </c>
      <c r="S99" s="2">
        <v>159.9</v>
      </c>
      <c r="T99" s="2">
        <v>155.5</v>
      </c>
      <c r="U99" s="2">
        <v>151.19999999999999</v>
      </c>
      <c r="V99" s="2">
        <v>161.69999999999999</v>
      </c>
      <c r="W99" s="2">
        <v>146.19999999999999</v>
      </c>
      <c r="X99" s="2">
        <v>152.6</v>
      </c>
      <c r="Y99" s="2">
        <v>160.19999999999999</v>
      </c>
      <c r="Z99" s="2">
        <v>153.80000000000001</v>
      </c>
      <c r="AA99" s="2">
        <v>153.80000000000001</v>
      </c>
      <c r="AB99" s="2">
        <v>156.80000000000001</v>
      </c>
      <c r="AC99" s="2">
        <v>3</v>
      </c>
      <c r="AD99" s="9">
        <v>44256</v>
      </c>
    </row>
    <row r="100" spans="1:30" x14ac:dyDescent="0.35">
      <c r="A100" s="5" t="s">
        <v>34</v>
      </c>
      <c r="B100" s="3">
        <v>144.30000000000001</v>
      </c>
      <c r="C100" s="3">
        <v>198</v>
      </c>
      <c r="D100" s="3">
        <v>164.6</v>
      </c>
      <c r="E100" s="3">
        <v>155.4</v>
      </c>
      <c r="F100" s="3">
        <v>170.1</v>
      </c>
      <c r="G100" s="3">
        <v>164.4</v>
      </c>
      <c r="H100" s="3">
        <v>144.1</v>
      </c>
      <c r="I100" s="3">
        <v>161.69999999999999</v>
      </c>
      <c r="J100" s="3">
        <v>113.1</v>
      </c>
      <c r="K100" s="3">
        <v>163.9</v>
      </c>
      <c r="L100" s="3">
        <v>157.6</v>
      </c>
      <c r="M100" s="15">
        <v>168.9</v>
      </c>
      <c r="N100" s="3">
        <v>158</v>
      </c>
      <c r="O100" s="3">
        <v>188.8</v>
      </c>
      <c r="P100" s="3">
        <v>158.80000000000001</v>
      </c>
      <c r="Q100" s="3">
        <v>148.5</v>
      </c>
      <c r="R100" s="3">
        <v>157.30000000000001</v>
      </c>
      <c r="S100" s="3">
        <v>161.4</v>
      </c>
      <c r="T100" s="3">
        <v>155.6</v>
      </c>
      <c r="U100" s="3">
        <v>151.80000000000001</v>
      </c>
      <c r="V100" s="3">
        <v>162.30000000000001</v>
      </c>
      <c r="W100" s="3">
        <v>146.6</v>
      </c>
      <c r="X100" s="3">
        <v>153.19999999999999</v>
      </c>
      <c r="Y100" s="3">
        <v>160.30000000000001</v>
      </c>
      <c r="Z100" s="3">
        <v>155.4</v>
      </c>
      <c r="AA100" s="3">
        <v>154.4</v>
      </c>
      <c r="AB100" s="3">
        <v>157.80000000000001</v>
      </c>
      <c r="AC100" s="3">
        <v>4</v>
      </c>
      <c r="AD100" s="8">
        <v>44287</v>
      </c>
    </row>
    <row r="101" spans="1:30" x14ac:dyDescent="0.35">
      <c r="A101" s="4" t="s">
        <v>34</v>
      </c>
      <c r="B101" s="2">
        <v>146.30000000000001</v>
      </c>
      <c r="C101" s="2">
        <v>200.5</v>
      </c>
      <c r="D101" s="2">
        <v>170.3</v>
      </c>
      <c r="E101" s="2">
        <v>156.1</v>
      </c>
      <c r="F101" s="2">
        <v>178.7</v>
      </c>
      <c r="G101" s="2">
        <v>167.1</v>
      </c>
      <c r="H101" s="2">
        <v>147.9</v>
      </c>
      <c r="I101" s="2">
        <v>165.4</v>
      </c>
      <c r="J101" s="2">
        <v>114.8</v>
      </c>
      <c r="K101" s="2">
        <v>168.2</v>
      </c>
      <c r="L101" s="2">
        <v>159.30000000000001</v>
      </c>
      <c r="M101" s="16">
        <v>170.4</v>
      </c>
      <c r="N101" s="2">
        <v>160.69999999999999</v>
      </c>
      <c r="O101" s="2">
        <v>191.9</v>
      </c>
      <c r="P101" s="2">
        <v>161.80000000000001</v>
      </c>
      <c r="Q101" s="2">
        <v>152.1</v>
      </c>
      <c r="R101" s="2">
        <v>160.4</v>
      </c>
      <c r="S101" s="2">
        <v>161.6</v>
      </c>
      <c r="T101" s="2">
        <v>159.4</v>
      </c>
      <c r="U101" s="2">
        <v>154.69999999999999</v>
      </c>
      <c r="V101" s="2">
        <v>165.8</v>
      </c>
      <c r="W101" s="2">
        <v>148.9</v>
      </c>
      <c r="X101" s="2">
        <v>155.80000000000001</v>
      </c>
      <c r="Y101" s="2">
        <v>161.19999999999999</v>
      </c>
      <c r="Z101" s="2">
        <v>158.6</v>
      </c>
      <c r="AA101" s="2">
        <v>156.80000000000001</v>
      </c>
      <c r="AB101" s="2">
        <v>160.4</v>
      </c>
      <c r="AC101" s="2">
        <v>5</v>
      </c>
      <c r="AD101" s="9">
        <v>44317</v>
      </c>
    </row>
    <row r="102" spans="1:30" x14ac:dyDescent="0.35">
      <c r="A102" s="5" t="s">
        <v>34</v>
      </c>
      <c r="B102" s="3">
        <v>146.69999999999999</v>
      </c>
      <c r="C102" s="3">
        <v>202</v>
      </c>
      <c r="D102" s="3">
        <v>180.7</v>
      </c>
      <c r="E102" s="3">
        <v>156.19999999999999</v>
      </c>
      <c r="F102" s="3">
        <v>183.7</v>
      </c>
      <c r="G102" s="3">
        <v>164.6</v>
      </c>
      <c r="H102" s="3">
        <v>155.4</v>
      </c>
      <c r="I102" s="3">
        <v>166</v>
      </c>
      <c r="J102" s="3">
        <v>115.1</v>
      </c>
      <c r="K102" s="3">
        <v>168.5</v>
      </c>
      <c r="L102" s="3">
        <v>160</v>
      </c>
      <c r="M102" s="15">
        <v>172.4</v>
      </c>
      <c r="N102" s="3">
        <v>162.6</v>
      </c>
      <c r="O102" s="3">
        <v>190.8</v>
      </c>
      <c r="P102" s="3">
        <v>162.19999999999999</v>
      </c>
      <c r="Q102" s="3">
        <v>151.80000000000001</v>
      </c>
      <c r="R102" s="3">
        <v>160.69999999999999</v>
      </c>
      <c r="S102" s="3">
        <v>160.5</v>
      </c>
      <c r="T102" s="3">
        <v>159.80000000000001</v>
      </c>
      <c r="U102" s="3">
        <v>154.80000000000001</v>
      </c>
      <c r="V102" s="3">
        <v>166.3</v>
      </c>
      <c r="W102" s="3">
        <v>150.69999999999999</v>
      </c>
      <c r="X102" s="3">
        <v>154.9</v>
      </c>
      <c r="Y102" s="3">
        <v>161.69999999999999</v>
      </c>
      <c r="Z102" s="3">
        <v>158.80000000000001</v>
      </c>
      <c r="AA102" s="3">
        <v>157.6</v>
      </c>
      <c r="AB102" s="3">
        <v>161.30000000000001</v>
      </c>
      <c r="AC102" s="3">
        <v>6</v>
      </c>
      <c r="AD102" s="8">
        <v>44348</v>
      </c>
    </row>
    <row r="103" spans="1:30" x14ac:dyDescent="0.35">
      <c r="A103" s="4" t="s">
        <v>34</v>
      </c>
      <c r="B103" s="2">
        <v>146.4</v>
      </c>
      <c r="C103" s="2">
        <v>206.8</v>
      </c>
      <c r="D103" s="2">
        <v>182.2</v>
      </c>
      <c r="E103" s="2">
        <v>157.5</v>
      </c>
      <c r="F103" s="2">
        <v>182.1</v>
      </c>
      <c r="G103" s="2">
        <v>163.9</v>
      </c>
      <c r="H103" s="2">
        <v>164.2</v>
      </c>
      <c r="I103" s="2">
        <v>164</v>
      </c>
      <c r="J103" s="2">
        <v>114.5</v>
      </c>
      <c r="K103" s="2">
        <v>168.3</v>
      </c>
      <c r="L103" s="2">
        <v>160.9</v>
      </c>
      <c r="M103" s="16">
        <v>172.2</v>
      </c>
      <c r="N103" s="2">
        <v>164</v>
      </c>
      <c r="O103" s="2">
        <v>191.2</v>
      </c>
      <c r="P103" s="2">
        <v>162.80000000000001</v>
      </c>
      <c r="Q103" s="2">
        <v>153.1</v>
      </c>
      <c r="R103" s="2">
        <v>161.4</v>
      </c>
      <c r="S103" s="2">
        <v>161.5</v>
      </c>
      <c r="T103" s="2">
        <v>160.69999999999999</v>
      </c>
      <c r="U103" s="2">
        <v>155.80000000000001</v>
      </c>
      <c r="V103" s="2">
        <v>167</v>
      </c>
      <c r="W103" s="2">
        <v>153.1</v>
      </c>
      <c r="X103" s="2">
        <v>155.30000000000001</v>
      </c>
      <c r="Y103" s="2">
        <v>163.19999999999999</v>
      </c>
      <c r="Z103" s="2">
        <v>160.1</v>
      </c>
      <c r="AA103" s="2">
        <v>159</v>
      </c>
      <c r="AB103" s="2">
        <v>162.5</v>
      </c>
      <c r="AC103" s="2">
        <v>7</v>
      </c>
      <c r="AD103" s="9">
        <v>44378</v>
      </c>
    </row>
    <row r="104" spans="1:30" x14ac:dyDescent="0.35">
      <c r="A104" s="5" t="s">
        <v>34</v>
      </c>
      <c r="B104" s="3">
        <v>146.6</v>
      </c>
      <c r="C104" s="3">
        <v>204</v>
      </c>
      <c r="D104" s="3">
        <v>172.8</v>
      </c>
      <c r="E104" s="3">
        <v>158.4</v>
      </c>
      <c r="F104" s="3">
        <v>188</v>
      </c>
      <c r="G104" s="3">
        <v>156.80000000000001</v>
      </c>
      <c r="H104" s="3">
        <v>162.19999999999999</v>
      </c>
      <c r="I104" s="3">
        <v>164.1</v>
      </c>
      <c r="J104" s="3">
        <v>119.7</v>
      </c>
      <c r="K104" s="3">
        <v>168.8</v>
      </c>
      <c r="L104" s="3">
        <v>162.69999999999999</v>
      </c>
      <c r="M104" s="15">
        <v>173.9</v>
      </c>
      <c r="N104" s="3">
        <v>164</v>
      </c>
      <c r="O104" s="3">
        <v>192.1</v>
      </c>
      <c r="P104" s="3">
        <v>164.5</v>
      </c>
      <c r="Q104" s="3">
        <v>155.30000000000001</v>
      </c>
      <c r="R104" s="3">
        <v>163.19999999999999</v>
      </c>
      <c r="S104" s="3">
        <v>162.1</v>
      </c>
      <c r="T104" s="3">
        <v>162.6</v>
      </c>
      <c r="U104" s="3">
        <v>157.5</v>
      </c>
      <c r="V104" s="3">
        <v>168.4</v>
      </c>
      <c r="W104" s="3">
        <v>154</v>
      </c>
      <c r="X104" s="3">
        <v>157.6</v>
      </c>
      <c r="Y104" s="3">
        <v>163.80000000000001</v>
      </c>
      <c r="Z104" s="3">
        <v>160</v>
      </c>
      <c r="AA104" s="3">
        <v>160</v>
      </c>
      <c r="AB104" s="3">
        <v>163.19999999999999</v>
      </c>
      <c r="AC104" s="3">
        <v>8</v>
      </c>
      <c r="AD104" s="8">
        <v>44409</v>
      </c>
    </row>
    <row r="105" spans="1:30" x14ac:dyDescent="0.35">
      <c r="A105" s="4" t="s">
        <v>34</v>
      </c>
      <c r="B105" s="2">
        <v>146.6</v>
      </c>
      <c r="C105" s="2">
        <v>204</v>
      </c>
      <c r="D105" s="2">
        <v>172.8</v>
      </c>
      <c r="E105" s="2">
        <v>158.4</v>
      </c>
      <c r="F105" s="2">
        <v>188</v>
      </c>
      <c r="G105" s="2">
        <v>156.69999999999999</v>
      </c>
      <c r="H105" s="2">
        <v>162.30000000000001</v>
      </c>
      <c r="I105" s="2">
        <v>164.1</v>
      </c>
      <c r="J105" s="2">
        <v>119.7</v>
      </c>
      <c r="K105" s="2">
        <v>168.8</v>
      </c>
      <c r="L105" s="2">
        <v>162.69999999999999</v>
      </c>
      <c r="M105" s="16">
        <v>173.9</v>
      </c>
      <c r="N105" s="2">
        <v>164</v>
      </c>
      <c r="O105" s="2">
        <v>192.1</v>
      </c>
      <c r="P105" s="2">
        <v>164.6</v>
      </c>
      <c r="Q105" s="2">
        <v>155.30000000000001</v>
      </c>
      <c r="R105" s="2">
        <v>163.30000000000001</v>
      </c>
      <c r="S105" s="2">
        <v>162.1</v>
      </c>
      <c r="T105" s="2">
        <v>162.6</v>
      </c>
      <c r="U105" s="2">
        <v>157.5</v>
      </c>
      <c r="V105" s="2">
        <v>168.4</v>
      </c>
      <c r="W105" s="2">
        <v>154</v>
      </c>
      <c r="X105" s="2">
        <v>157.69999999999999</v>
      </c>
      <c r="Y105" s="2">
        <v>163.69999999999999</v>
      </c>
      <c r="Z105" s="2">
        <v>160</v>
      </c>
      <c r="AA105" s="2">
        <v>160</v>
      </c>
      <c r="AB105" s="2">
        <v>163.19999999999999</v>
      </c>
      <c r="AC105" s="2">
        <v>9</v>
      </c>
      <c r="AD105" s="9">
        <v>44440</v>
      </c>
    </row>
    <row r="106" spans="1:30" x14ac:dyDescent="0.35">
      <c r="A106" s="5" t="s">
        <v>34</v>
      </c>
      <c r="B106" s="3">
        <v>147.4</v>
      </c>
      <c r="C106" s="3">
        <v>204.6</v>
      </c>
      <c r="D106" s="3">
        <v>171.2</v>
      </c>
      <c r="E106" s="3">
        <v>158.69999999999999</v>
      </c>
      <c r="F106" s="3">
        <v>190.6</v>
      </c>
      <c r="G106" s="3">
        <v>155.69999999999999</v>
      </c>
      <c r="H106" s="3">
        <v>185.3</v>
      </c>
      <c r="I106" s="3">
        <v>165.2</v>
      </c>
      <c r="J106" s="3">
        <v>121.9</v>
      </c>
      <c r="K106" s="3">
        <v>169.3</v>
      </c>
      <c r="L106" s="3">
        <v>163.19999999999999</v>
      </c>
      <c r="M106" s="15">
        <v>174.7</v>
      </c>
      <c r="N106" s="3">
        <v>167.7</v>
      </c>
      <c r="O106" s="3">
        <v>192.7</v>
      </c>
      <c r="P106" s="3">
        <v>165.7</v>
      </c>
      <c r="Q106" s="3">
        <v>156.30000000000001</v>
      </c>
      <c r="R106" s="3">
        <v>164.3</v>
      </c>
      <c r="S106" s="3">
        <v>163.6</v>
      </c>
      <c r="T106" s="3">
        <v>164.2</v>
      </c>
      <c r="U106" s="3">
        <v>158.4</v>
      </c>
      <c r="V106" s="3">
        <v>169.1</v>
      </c>
      <c r="W106" s="3">
        <v>155.69999999999999</v>
      </c>
      <c r="X106" s="3">
        <v>158.6</v>
      </c>
      <c r="Y106" s="3">
        <v>163.9</v>
      </c>
      <c r="Z106" s="3">
        <v>160.80000000000001</v>
      </c>
      <c r="AA106" s="3">
        <v>161</v>
      </c>
      <c r="AB106" s="3">
        <v>165.5</v>
      </c>
      <c r="AC106" s="3">
        <v>10</v>
      </c>
      <c r="AD106" s="8">
        <v>44470</v>
      </c>
    </row>
    <row r="107" spans="1:30" x14ac:dyDescent="0.35">
      <c r="A107" s="4" t="s">
        <v>34</v>
      </c>
      <c r="B107" s="2">
        <v>148.19999999999999</v>
      </c>
      <c r="C107" s="2">
        <v>201.6</v>
      </c>
      <c r="D107" s="2">
        <v>173</v>
      </c>
      <c r="E107" s="2">
        <v>159.30000000000001</v>
      </c>
      <c r="F107" s="2">
        <v>190.1</v>
      </c>
      <c r="G107" s="2">
        <v>156.5</v>
      </c>
      <c r="H107" s="2">
        <v>199.2</v>
      </c>
      <c r="I107" s="2">
        <v>165.3</v>
      </c>
      <c r="J107" s="2">
        <v>122.4</v>
      </c>
      <c r="K107" s="2">
        <v>169.6</v>
      </c>
      <c r="L107" s="2">
        <v>163.69999999999999</v>
      </c>
      <c r="M107" s="16">
        <v>175.5</v>
      </c>
      <c r="N107" s="2">
        <v>169.7</v>
      </c>
      <c r="O107" s="2">
        <v>192.9</v>
      </c>
      <c r="P107" s="2">
        <v>167.2</v>
      </c>
      <c r="Q107" s="2">
        <v>157.4</v>
      </c>
      <c r="R107" s="2">
        <v>165.8</v>
      </c>
      <c r="S107" s="2">
        <v>164.2</v>
      </c>
      <c r="T107" s="2">
        <v>163.9</v>
      </c>
      <c r="U107" s="2">
        <v>159.30000000000001</v>
      </c>
      <c r="V107" s="2">
        <v>169.9</v>
      </c>
      <c r="W107" s="2">
        <v>154.80000000000001</v>
      </c>
      <c r="X107" s="2">
        <v>159.80000000000001</v>
      </c>
      <c r="Y107" s="2">
        <v>164.3</v>
      </c>
      <c r="Z107" s="2">
        <v>162.19999999999999</v>
      </c>
      <c r="AA107" s="2">
        <v>161.4</v>
      </c>
      <c r="AB107" s="2">
        <v>166.7</v>
      </c>
      <c r="AC107" s="2">
        <v>11</v>
      </c>
      <c r="AD107" s="9">
        <v>44501</v>
      </c>
    </row>
    <row r="108" spans="1:30" x14ac:dyDescent="0.35">
      <c r="A108" s="5" t="s">
        <v>34</v>
      </c>
      <c r="B108" s="3">
        <v>148.69999999999999</v>
      </c>
      <c r="C108" s="3">
        <v>198.8</v>
      </c>
      <c r="D108" s="3">
        <v>177.9</v>
      </c>
      <c r="E108" s="3">
        <v>159.9</v>
      </c>
      <c r="F108" s="3">
        <v>187.6</v>
      </c>
      <c r="G108" s="3">
        <v>154.9</v>
      </c>
      <c r="H108" s="3">
        <v>188.3</v>
      </c>
      <c r="I108" s="3">
        <v>164.4</v>
      </c>
      <c r="J108" s="3">
        <v>121</v>
      </c>
      <c r="K108" s="3">
        <v>170.5</v>
      </c>
      <c r="L108" s="3">
        <v>164.2</v>
      </c>
      <c r="M108" s="15">
        <v>176.5</v>
      </c>
      <c r="N108" s="3">
        <v>168.2</v>
      </c>
      <c r="O108" s="3">
        <v>192.4</v>
      </c>
      <c r="P108" s="3">
        <v>168.5</v>
      </c>
      <c r="Q108" s="3">
        <v>158.69999999999999</v>
      </c>
      <c r="R108" s="3">
        <v>167</v>
      </c>
      <c r="S108" s="3">
        <v>163.4</v>
      </c>
      <c r="T108" s="3">
        <v>164.1</v>
      </c>
      <c r="U108" s="3">
        <v>160.19999999999999</v>
      </c>
      <c r="V108" s="3">
        <v>170.6</v>
      </c>
      <c r="W108" s="3">
        <v>155.69999999999999</v>
      </c>
      <c r="X108" s="3">
        <v>160.6</v>
      </c>
      <c r="Y108" s="3">
        <v>164.4</v>
      </c>
      <c r="Z108" s="3">
        <v>162.6</v>
      </c>
      <c r="AA108" s="3">
        <v>162</v>
      </c>
      <c r="AB108" s="3">
        <v>166.2</v>
      </c>
      <c r="AC108" s="3">
        <v>12</v>
      </c>
      <c r="AD108" s="8">
        <v>44531</v>
      </c>
    </row>
    <row r="109" spans="1:30" x14ac:dyDescent="0.35">
      <c r="A109" s="4" t="s">
        <v>34</v>
      </c>
      <c r="B109" s="2">
        <v>149.5</v>
      </c>
      <c r="C109" s="2">
        <v>198.7</v>
      </c>
      <c r="D109" s="2">
        <v>178.8</v>
      </c>
      <c r="E109" s="2">
        <v>160.5</v>
      </c>
      <c r="F109" s="2">
        <v>184.7</v>
      </c>
      <c r="G109" s="2">
        <v>153.69999999999999</v>
      </c>
      <c r="H109" s="2">
        <v>174.3</v>
      </c>
      <c r="I109" s="2">
        <v>163.9</v>
      </c>
      <c r="J109" s="2">
        <v>120</v>
      </c>
      <c r="K109" s="2">
        <v>172.1</v>
      </c>
      <c r="L109" s="2">
        <v>164.3</v>
      </c>
      <c r="M109" s="16">
        <v>177.3</v>
      </c>
      <c r="N109" s="2">
        <v>166.4</v>
      </c>
      <c r="O109" s="2">
        <v>192.2</v>
      </c>
      <c r="P109" s="2">
        <v>169.9</v>
      </c>
      <c r="Q109" s="2">
        <v>160.69999999999999</v>
      </c>
      <c r="R109" s="2">
        <v>168.5</v>
      </c>
      <c r="S109" s="2">
        <v>164.5</v>
      </c>
      <c r="T109" s="2">
        <v>164.2</v>
      </c>
      <c r="U109" s="2">
        <v>161.1</v>
      </c>
      <c r="V109" s="2">
        <v>171.4</v>
      </c>
      <c r="W109" s="2">
        <v>156.5</v>
      </c>
      <c r="X109" s="2">
        <v>161.19999999999999</v>
      </c>
      <c r="Y109" s="2">
        <v>164.7</v>
      </c>
      <c r="Z109" s="2">
        <v>163</v>
      </c>
      <c r="AA109" s="2">
        <v>162.69999999999999</v>
      </c>
      <c r="AB109" s="2">
        <v>165.7</v>
      </c>
      <c r="AC109" s="2">
        <v>1</v>
      </c>
      <c r="AD109" s="9">
        <v>44562</v>
      </c>
    </row>
    <row r="110" spans="1:30" x14ac:dyDescent="0.35">
      <c r="A110" s="5" t="s">
        <v>34</v>
      </c>
      <c r="B110" s="3">
        <v>150</v>
      </c>
      <c r="C110" s="3">
        <v>200.6</v>
      </c>
      <c r="D110" s="3">
        <v>175.8</v>
      </c>
      <c r="E110" s="3">
        <v>160.69999999999999</v>
      </c>
      <c r="F110" s="3">
        <v>184.9</v>
      </c>
      <c r="G110" s="3">
        <v>153.69999999999999</v>
      </c>
      <c r="H110" s="3">
        <v>169.7</v>
      </c>
      <c r="I110" s="3">
        <v>163.69999999999999</v>
      </c>
      <c r="J110" s="3">
        <v>118.9</v>
      </c>
      <c r="K110" s="3">
        <v>174.3</v>
      </c>
      <c r="L110" s="3">
        <v>164.7</v>
      </c>
      <c r="M110" s="15">
        <v>178</v>
      </c>
      <c r="N110" s="3">
        <v>166.2</v>
      </c>
      <c r="O110" s="3">
        <v>192.8</v>
      </c>
      <c r="P110" s="3">
        <v>170.8</v>
      </c>
      <c r="Q110" s="3">
        <v>162.4</v>
      </c>
      <c r="R110" s="3">
        <v>169.6</v>
      </c>
      <c r="S110" s="3">
        <v>165.5</v>
      </c>
      <c r="T110" s="3">
        <v>165.7</v>
      </c>
      <c r="U110" s="3">
        <v>161.80000000000001</v>
      </c>
      <c r="V110" s="3">
        <v>172.2</v>
      </c>
      <c r="W110" s="3">
        <v>156.9</v>
      </c>
      <c r="X110" s="3">
        <v>162.1</v>
      </c>
      <c r="Y110" s="3">
        <v>165.4</v>
      </c>
      <c r="Z110" s="3">
        <v>164.4</v>
      </c>
      <c r="AA110" s="3">
        <v>163.5</v>
      </c>
      <c r="AB110" s="3">
        <v>166.1</v>
      </c>
      <c r="AC110" s="3">
        <v>2</v>
      </c>
      <c r="AD110" s="8">
        <v>44593</v>
      </c>
    </row>
    <row r="111" spans="1:30" x14ac:dyDescent="0.35">
      <c r="A111" s="4" t="s">
        <v>34</v>
      </c>
      <c r="B111" s="2">
        <v>151.30000000000001</v>
      </c>
      <c r="C111" s="2">
        <v>210.7</v>
      </c>
      <c r="D111" s="2">
        <v>167.8</v>
      </c>
      <c r="E111" s="2">
        <v>162.19999999999999</v>
      </c>
      <c r="F111" s="2">
        <v>194.6</v>
      </c>
      <c r="G111" s="2">
        <v>157.6</v>
      </c>
      <c r="H111" s="2">
        <v>166.9</v>
      </c>
      <c r="I111" s="2">
        <v>163.9</v>
      </c>
      <c r="J111" s="2">
        <v>118.8</v>
      </c>
      <c r="K111" s="2">
        <v>177.4</v>
      </c>
      <c r="L111" s="2">
        <v>165.3</v>
      </c>
      <c r="M111" s="16">
        <v>179.3</v>
      </c>
      <c r="N111" s="2">
        <v>168.4</v>
      </c>
      <c r="O111" s="2">
        <v>193.7</v>
      </c>
      <c r="P111" s="2">
        <v>172.1</v>
      </c>
      <c r="Q111" s="2">
        <v>164.6</v>
      </c>
      <c r="R111" s="2">
        <v>171.1</v>
      </c>
      <c r="S111" s="2">
        <v>165.3</v>
      </c>
      <c r="T111" s="2">
        <v>167.2</v>
      </c>
      <c r="U111" s="2">
        <v>162.80000000000001</v>
      </c>
      <c r="V111" s="2">
        <v>173</v>
      </c>
      <c r="W111" s="2">
        <v>157.9</v>
      </c>
      <c r="X111" s="2">
        <v>163.30000000000001</v>
      </c>
      <c r="Y111" s="2">
        <v>166</v>
      </c>
      <c r="Z111" s="2">
        <v>167.2</v>
      </c>
      <c r="AA111" s="2">
        <v>164.6</v>
      </c>
      <c r="AB111" s="2">
        <v>167.7</v>
      </c>
      <c r="AC111" s="2">
        <v>3</v>
      </c>
      <c r="AD111" s="9">
        <v>44621</v>
      </c>
    </row>
    <row r="112" spans="1:30" x14ac:dyDescent="0.35">
      <c r="A112" s="5" t="s">
        <v>34</v>
      </c>
      <c r="B112" s="3">
        <v>152.9</v>
      </c>
      <c r="C112" s="3">
        <v>211.8</v>
      </c>
      <c r="D112" s="3">
        <v>164.5</v>
      </c>
      <c r="E112" s="3">
        <v>163.9</v>
      </c>
      <c r="F112" s="3">
        <v>199.5</v>
      </c>
      <c r="G112" s="3">
        <v>172.6</v>
      </c>
      <c r="H112" s="3">
        <v>166.2</v>
      </c>
      <c r="I112" s="3">
        <v>164.7</v>
      </c>
      <c r="J112" s="3">
        <v>119</v>
      </c>
      <c r="K112" s="3">
        <v>181.3</v>
      </c>
      <c r="L112" s="3">
        <v>166.2</v>
      </c>
      <c r="M112" s="15">
        <v>180.9</v>
      </c>
      <c r="N112" s="3">
        <v>170.8</v>
      </c>
      <c r="O112" s="3">
        <v>193.9</v>
      </c>
      <c r="P112" s="3">
        <v>173.9</v>
      </c>
      <c r="Q112" s="3">
        <v>166.5</v>
      </c>
      <c r="R112" s="3">
        <v>172.8</v>
      </c>
      <c r="S112" s="3">
        <v>167</v>
      </c>
      <c r="T112" s="3">
        <v>172.2</v>
      </c>
      <c r="U112" s="3">
        <v>164</v>
      </c>
      <c r="V112" s="3">
        <v>174</v>
      </c>
      <c r="W112" s="3">
        <v>162.6</v>
      </c>
      <c r="X112" s="3">
        <v>164.4</v>
      </c>
      <c r="Y112" s="3">
        <v>166.9</v>
      </c>
      <c r="Z112" s="3">
        <v>168.8</v>
      </c>
      <c r="AA112" s="3">
        <v>166.8</v>
      </c>
      <c r="AB112" s="3">
        <v>170.1</v>
      </c>
      <c r="AC112" s="3">
        <v>4</v>
      </c>
      <c r="AD112" s="8">
        <v>44652</v>
      </c>
    </row>
    <row r="113" spans="1:30" x14ac:dyDescent="0.35">
      <c r="A113" s="4" t="s">
        <v>34</v>
      </c>
      <c r="B113" s="2">
        <v>154.1</v>
      </c>
      <c r="C113" s="2">
        <v>217</v>
      </c>
      <c r="D113" s="2">
        <v>162.4</v>
      </c>
      <c r="E113" s="2">
        <v>164.9</v>
      </c>
      <c r="F113" s="2">
        <v>202.4</v>
      </c>
      <c r="G113" s="2">
        <v>171</v>
      </c>
      <c r="H113" s="2">
        <v>174.9</v>
      </c>
      <c r="I113" s="2">
        <v>164.7</v>
      </c>
      <c r="J113" s="2">
        <v>119.7</v>
      </c>
      <c r="K113" s="2">
        <v>184.9</v>
      </c>
      <c r="L113" s="2">
        <v>167.1</v>
      </c>
      <c r="M113" s="16">
        <v>182.5</v>
      </c>
      <c r="N113" s="2">
        <v>173.3</v>
      </c>
      <c r="O113" s="2">
        <v>194.1</v>
      </c>
      <c r="P113" s="2">
        <v>175.6</v>
      </c>
      <c r="Q113" s="2">
        <v>168.4</v>
      </c>
      <c r="R113" s="2">
        <v>174.6</v>
      </c>
      <c r="S113" s="2">
        <v>167.5</v>
      </c>
      <c r="T113" s="2">
        <v>174.6</v>
      </c>
      <c r="U113" s="2">
        <v>165.2</v>
      </c>
      <c r="V113" s="2">
        <v>174.8</v>
      </c>
      <c r="W113" s="2">
        <v>163</v>
      </c>
      <c r="X113" s="2">
        <v>165.1</v>
      </c>
      <c r="Y113" s="2">
        <v>167.9</v>
      </c>
      <c r="Z113" s="2">
        <v>168.4</v>
      </c>
      <c r="AA113" s="2">
        <v>167.5</v>
      </c>
      <c r="AB113" s="2">
        <v>171.7</v>
      </c>
      <c r="AC113" s="2">
        <v>5</v>
      </c>
      <c r="AD113" s="9">
        <v>44682</v>
      </c>
    </row>
    <row r="114" spans="1:30" x14ac:dyDescent="0.35">
      <c r="A114" s="5" t="s">
        <v>34</v>
      </c>
      <c r="B114" s="3">
        <v>155</v>
      </c>
      <c r="C114" s="3">
        <v>219.4</v>
      </c>
      <c r="D114" s="3">
        <v>170.8</v>
      </c>
      <c r="E114" s="3">
        <v>165.8</v>
      </c>
      <c r="F114" s="3">
        <v>200.9</v>
      </c>
      <c r="G114" s="3">
        <v>169.7</v>
      </c>
      <c r="H114" s="3">
        <v>182.3</v>
      </c>
      <c r="I114" s="3">
        <v>164.3</v>
      </c>
      <c r="J114" s="3">
        <v>119.9</v>
      </c>
      <c r="K114" s="3">
        <v>187.1</v>
      </c>
      <c r="L114" s="3">
        <v>167.9</v>
      </c>
      <c r="M114" s="15">
        <v>183.9</v>
      </c>
      <c r="N114" s="3">
        <v>174.9</v>
      </c>
      <c r="O114" s="3">
        <v>194.3</v>
      </c>
      <c r="P114" s="3">
        <v>177.1</v>
      </c>
      <c r="Q114" s="3">
        <v>169.9</v>
      </c>
      <c r="R114" s="3">
        <v>176</v>
      </c>
      <c r="S114" s="3">
        <v>166.8</v>
      </c>
      <c r="T114" s="3">
        <v>176</v>
      </c>
      <c r="U114" s="3">
        <v>166.4</v>
      </c>
      <c r="V114" s="3">
        <v>175.4</v>
      </c>
      <c r="W114" s="3">
        <v>161.1</v>
      </c>
      <c r="X114" s="3">
        <v>165.8</v>
      </c>
      <c r="Y114" s="3">
        <v>169</v>
      </c>
      <c r="Z114" s="3">
        <v>169.4</v>
      </c>
      <c r="AA114" s="3">
        <v>167.5</v>
      </c>
      <c r="AB114" s="3">
        <v>172.6</v>
      </c>
      <c r="AC114" s="3">
        <v>6</v>
      </c>
      <c r="AD114" s="8">
        <v>44713</v>
      </c>
    </row>
    <row r="115" spans="1:30" x14ac:dyDescent="0.35">
      <c r="A115" s="4" t="s">
        <v>34</v>
      </c>
      <c r="B115" s="2">
        <v>156.5</v>
      </c>
      <c r="C115" s="2">
        <v>213</v>
      </c>
      <c r="D115" s="2">
        <v>175.2</v>
      </c>
      <c r="E115" s="2">
        <v>166.6</v>
      </c>
      <c r="F115" s="2">
        <v>195.8</v>
      </c>
      <c r="G115" s="2">
        <v>174.2</v>
      </c>
      <c r="H115" s="2">
        <v>182.1</v>
      </c>
      <c r="I115" s="2">
        <v>164.3</v>
      </c>
      <c r="J115" s="2">
        <v>120</v>
      </c>
      <c r="K115" s="2">
        <v>190</v>
      </c>
      <c r="L115" s="2">
        <v>168.4</v>
      </c>
      <c r="M115" s="16">
        <v>185.2</v>
      </c>
      <c r="N115" s="2">
        <v>175</v>
      </c>
      <c r="O115" s="2">
        <v>194.6</v>
      </c>
      <c r="P115" s="2">
        <v>178.3</v>
      </c>
      <c r="Q115" s="2">
        <v>171.3</v>
      </c>
      <c r="R115" s="2">
        <v>177.3</v>
      </c>
      <c r="S115" s="2">
        <v>167.8</v>
      </c>
      <c r="T115" s="2">
        <v>179.6</v>
      </c>
      <c r="U115" s="2">
        <v>167.4</v>
      </c>
      <c r="V115" s="2">
        <v>176.1</v>
      </c>
      <c r="W115" s="2">
        <v>161.6</v>
      </c>
      <c r="X115" s="2">
        <v>166.3</v>
      </c>
      <c r="Y115" s="2">
        <v>171.4</v>
      </c>
      <c r="Z115" s="2">
        <v>169.7</v>
      </c>
      <c r="AA115" s="2">
        <v>168.4</v>
      </c>
      <c r="AB115" s="2">
        <v>173.4</v>
      </c>
      <c r="AC115" s="2">
        <v>7</v>
      </c>
      <c r="AD115" s="9">
        <v>44743</v>
      </c>
    </row>
    <row r="116" spans="1:30" x14ac:dyDescent="0.35">
      <c r="A116" s="5" t="s">
        <v>34</v>
      </c>
      <c r="B116" s="3">
        <v>160.30000000000001</v>
      </c>
      <c r="C116" s="3">
        <v>206.5</v>
      </c>
      <c r="D116" s="3">
        <v>169.2</v>
      </c>
      <c r="E116" s="3">
        <v>168.1</v>
      </c>
      <c r="F116" s="3">
        <v>192.4</v>
      </c>
      <c r="G116" s="3">
        <v>172.9</v>
      </c>
      <c r="H116" s="3">
        <v>186.7</v>
      </c>
      <c r="I116" s="3">
        <v>167.2</v>
      </c>
      <c r="J116" s="3">
        <v>120.9</v>
      </c>
      <c r="K116" s="3">
        <v>193.6</v>
      </c>
      <c r="L116" s="3">
        <v>168.8</v>
      </c>
      <c r="M116" s="15">
        <v>186.3</v>
      </c>
      <c r="N116" s="3">
        <v>176.3</v>
      </c>
      <c r="O116" s="3">
        <v>195</v>
      </c>
      <c r="P116" s="3">
        <v>179.5</v>
      </c>
      <c r="Q116" s="3">
        <v>172.7</v>
      </c>
      <c r="R116" s="3">
        <v>178.5</v>
      </c>
      <c r="S116" s="3">
        <v>169</v>
      </c>
      <c r="T116" s="3">
        <v>178.8</v>
      </c>
      <c r="U116" s="3">
        <v>168.5</v>
      </c>
      <c r="V116" s="3">
        <v>176.8</v>
      </c>
      <c r="W116" s="3">
        <v>161.9</v>
      </c>
      <c r="X116" s="3">
        <v>166.9</v>
      </c>
      <c r="Y116" s="3">
        <v>172.3</v>
      </c>
      <c r="Z116" s="3">
        <v>171.2</v>
      </c>
      <c r="AA116" s="3">
        <v>169.1</v>
      </c>
      <c r="AB116" s="3">
        <v>174.3</v>
      </c>
      <c r="AC116" s="3">
        <v>8</v>
      </c>
      <c r="AD116" s="8">
        <v>44774</v>
      </c>
    </row>
    <row r="117" spans="1:30" x14ac:dyDescent="0.35">
      <c r="A117" s="4" t="s">
        <v>34</v>
      </c>
      <c r="B117" s="2">
        <v>163.5</v>
      </c>
      <c r="C117" s="2">
        <v>209.2</v>
      </c>
      <c r="D117" s="2">
        <v>169.7</v>
      </c>
      <c r="E117" s="2">
        <v>169.7</v>
      </c>
      <c r="F117" s="2">
        <v>188.7</v>
      </c>
      <c r="G117" s="2">
        <v>165.7</v>
      </c>
      <c r="H117" s="2">
        <v>191.8</v>
      </c>
      <c r="I117" s="2">
        <v>169.1</v>
      </c>
      <c r="J117" s="2">
        <v>121.6</v>
      </c>
      <c r="K117" s="2">
        <v>197.3</v>
      </c>
      <c r="L117" s="2">
        <v>169.4</v>
      </c>
      <c r="M117" s="16">
        <v>187.4</v>
      </c>
      <c r="N117" s="2">
        <v>177.8</v>
      </c>
      <c r="O117" s="2">
        <v>195.9</v>
      </c>
      <c r="P117" s="2">
        <v>180.9</v>
      </c>
      <c r="Q117" s="2">
        <v>174.3</v>
      </c>
      <c r="R117" s="2">
        <v>179.9</v>
      </c>
      <c r="S117" s="2">
        <v>169.5</v>
      </c>
      <c r="T117" s="2">
        <v>179.5</v>
      </c>
      <c r="U117" s="2">
        <v>169.5</v>
      </c>
      <c r="V117" s="2">
        <v>177.8</v>
      </c>
      <c r="W117" s="2">
        <v>162.30000000000001</v>
      </c>
      <c r="X117" s="2">
        <v>167.6</v>
      </c>
      <c r="Y117" s="2">
        <v>173.1</v>
      </c>
      <c r="Z117" s="2">
        <v>170.9</v>
      </c>
      <c r="AA117" s="2">
        <v>169.7</v>
      </c>
      <c r="AB117" s="2">
        <v>175.3</v>
      </c>
      <c r="AC117" s="2">
        <v>9</v>
      </c>
      <c r="AD117" s="9">
        <v>44805</v>
      </c>
    </row>
    <row r="118" spans="1:30" x14ac:dyDescent="0.35">
      <c r="A118" s="5" t="s">
        <v>34</v>
      </c>
      <c r="B118" s="3">
        <v>165.2</v>
      </c>
      <c r="C118" s="3">
        <v>210.9</v>
      </c>
      <c r="D118" s="3">
        <v>170.9</v>
      </c>
      <c r="E118" s="3">
        <v>170.9</v>
      </c>
      <c r="F118" s="3">
        <v>186.5</v>
      </c>
      <c r="G118" s="3">
        <v>163.80000000000001</v>
      </c>
      <c r="H118" s="3">
        <v>199.7</v>
      </c>
      <c r="I118" s="3">
        <v>169.8</v>
      </c>
      <c r="J118" s="3">
        <v>121.9</v>
      </c>
      <c r="K118" s="3">
        <v>199.9</v>
      </c>
      <c r="L118" s="3">
        <v>169.9</v>
      </c>
      <c r="M118" s="15">
        <v>188.3</v>
      </c>
      <c r="N118" s="3">
        <v>179.6</v>
      </c>
      <c r="O118" s="3">
        <v>196.3</v>
      </c>
      <c r="P118" s="3">
        <v>181.9</v>
      </c>
      <c r="Q118" s="3">
        <v>175.3</v>
      </c>
      <c r="R118" s="3">
        <v>181</v>
      </c>
      <c r="S118" s="3">
        <v>171.2</v>
      </c>
      <c r="T118" s="3">
        <v>180.5</v>
      </c>
      <c r="U118" s="3">
        <v>170.4</v>
      </c>
      <c r="V118" s="3">
        <v>178.7</v>
      </c>
      <c r="W118" s="3">
        <v>162.9</v>
      </c>
      <c r="X118" s="3">
        <v>168.2</v>
      </c>
      <c r="Y118" s="3">
        <v>173.4</v>
      </c>
      <c r="Z118" s="3">
        <v>172.1</v>
      </c>
      <c r="AA118" s="3">
        <v>170.5</v>
      </c>
      <c r="AB118" s="3">
        <v>176.7</v>
      </c>
      <c r="AC118" s="3">
        <v>10</v>
      </c>
      <c r="AD118" s="8">
        <v>44835</v>
      </c>
    </row>
    <row r="119" spans="1:30" x14ac:dyDescent="0.35">
      <c r="A119" s="4" t="s">
        <v>34</v>
      </c>
      <c r="B119" s="2">
        <v>167.4</v>
      </c>
      <c r="C119" s="2">
        <v>209.4</v>
      </c>
      <c r="D119" s="2">
        <v>181.4</v>
      </c>
      <c r="E119" s="2">
        <v>172.3</v>
      </c>
      <c r="F119" s="2">
        <v>188.9</v>
      </c>
      <c r="G119" s="2">
        <v>160.69999999999999</v>
      </c>
      <c r="H119" s="2">
        <v>183.1</v>
      </c>
      <c r="I119" s="2">
        <v>170.5</v>
      </c>
      <c r="J119" s="2">
        <v>122.1</v>
      </c>
      <c r="K119" s="2">
        <v>202.8</v>
      </c>
      <c r="L119" s="2">
        <v>170.4</v>
      </c>
      <c r="M119" s="16">
        <v>189.5</v>
      </c>
      <c r="N119" s="2">
        <v>178.3</v>
      </c>
      <c r="O119" s="2">
        <v>196.9</v>
      </c>
      <c r="P119" s="2">
        <v>183.1</v>
      </c>
      <c r="Q119" s="2">
        <v>176.2</v>
      </c>
      <c r="R119" s="2">
        <v>182.1</v>
      </c>
      <c r="S119" s="2">
        <v>171.8</v>
      </c>
      <c r="T119" s="2">
        <v>181.3</v>
      </c>
      <c r="U119" s="2">
        <v>171.4</v>
      </c>
      <c r="V119" s="2">
        <v>179.8</v>
      </c>
      <c r="W119" s="2">
        <v>163</v>
      </c>
      <c r="X119" s="2">
        <v>168.5</v>
      </c>
      <c r="Y119" s="2">
        <v>173.7</v>
      </c>
      <c r="Z119" s="2">
        <v>173.6</v>
      </c>
      <c r="AA119" s="2">
        <v>171.1</v>
      </c>
      <c r="AB119" s="2">
        <v>176.5</v>
      </c>
      <c r="AC119" s="2">
        <v>11</v>
      </c>
      <c r="AD119" s="9">
        <v>44866</v>
      </c>
    </row>
    <row r="120" spans="1:30" x14ac:dyDescent="0.35">
      <c r="A120" s="5" t="s">
        <v>34</v>
      </c>
      <c r="B120" s="3">
        <v>169.2</v>
      </c>
      <c r="C120" s="3">
        <v>209</v>
      </c>
      <c r="D120" s="3">
        <v>190.2</v>
      </c>
      <c r="E120" s="3">
        <v>173.6</v>
      </c>
      <c r="F120" s="3">
        <v>188.5</v>
      </c>
      <c r="G120" s="3">
        <v>158</v>
      </c>
      <c r="H120" s="3">
        <v>159.9</v>
      </c>
      <c r="I120" s="3">
        <v>170.8</v>
      </c>
      <c r="J120" s="3">
        <v>121.8</v>
      </c>
      <c r="K120" s="3">
        <v>205.2</v>
      </c>
      <c r="L120" s="3">
        <v>171</v>
      </c>
      <c r="M120" s="15">
        <v>190.3</v>
      </c>
      <c r="N120" s="3">
        <v>175.9</v>
      </c>
      <c r="O120" s="3">
        <v>197.3</v>
      </c>
      <c r="P120" s="3">
        <v>184</v>
      </c>
      <c r="Q120" s="3">
        <v>177</v>
      </c>
      <c r="R120" s="3">
        <v>183</v>
      </c>
      <c r="S120" s="3">
        <v>170.7</v>
      </c>
      <c r="T120" s="3">
        <v>182</v>
      </c>
      <c r="U120" s="3">
        <v>172.1</v>
      </c>
      <c r="V120" s="3">
        <v>181.1</v>
      </c>
      <c r="W120" s="3">
        <v>163.4</v>
      </c>
      <c r="X120" s="3">
        <v>168.9</v>
      </c>
      <c r="Y120" s="3">
        <v>174.1</v>
      </c>
      <c r="Z120" s="3">
        <v>175.8</v>
      </c>
      <c r="AA120" s="3">
        <v>172</v>
      </c>
      <c r="AB120" s="3">
        <v>175.7</v>
      </c>
      <c r="AC120" s="3">
        <v>12</v>
      </c>
      <c r="AD120" s="8">
        <v>44896</v>
      </c>
    </row>
    <row r="121" spans="1:30" x14ac:dyDescent="0.35">
      <c r="A121" s="4" t="s">
        <v>34</v>
      </c>
      <c r="B121" s="2">
        <v>173.8</v>
      </c>
      <c r="C121" s="2">
        <v>210.7</v>
      </c>
      <c r="D121" s="2">
        <v>194.5</v>
      </c>
      <c r="E121" s="2">
        <v>174.6</v>
      </c>
      <c r="F121" s="2">
        <v>187.2</v>
      </c>
      <c r="G121" s="2">
        <v>158.30000000000001</v>
      </c>
      <c r="H121" s="2">
        <v>153.9</v>
      </c>
      <c r="I121" s="2">
        <v>170.9</v>
      </c>
      <c r="J121" s="2">
        <v>121.1</v>
      </c>
      <c r="K121" s="2">
        <v>208.4</v>
      </c>
      <c r="L121" s="2">
        <v>171.4</v>
      </c>
      <c r="M121" s="16">
        <v>191.2</v>
      </c>
      <c r="N121" s="2">
        <v>176.7</v>
      </c>
      <c r="O121" s="2">
        <v>198.2</v>
      </c>
      <c r="P121" s="2">
        <v>184.9</v>
      </c>
      <c r="Q121" s="2">
        <v>177.6</v>
      </c>
      <c r="R121" s="2">
        <v>183.8</v>
      </c>
      <c r="S121" s="2">
        <v>172.1</v>
      </c>
      <c r="T121" s="2">
        <v>182</v>
      </c>
      <c r="U121" s="2">
        <v>172.9</v>
      </c>
      <c r="V121" s="2">
        <v>182.3</v>
      </c>
      <c r="W121" s="2">
        <v>163.6</v>
      </c>
      <c r="X121" s="2">
        <v>169.5</v>
      </c>
      <c r="Y121" s="2">
        <v>174.3</v>
      </c>
      <c r="Z121" s="2">
        <v>178.6</v>
      </c>
      <c r="AA121" s="2">
        <v>172.8</v>
      </c>
      <c r="AB121" s="2">
        <v>176.5</v>
      </c>
      <c r="AC121" s="2">
        <v>1</v>
      </c>
      <c r="AD121" s="9">
        <v>44927</v>
      </c>
    </row>
    <row r="122" spans="1:30" x14ac:dyDescent="0.35">
      <c r="A122" s="5" t="s">
        <v>34</v>
      </c>
      <c r="B122" s="3">
        <v>174.4</v>
      </c>
      <c r="C122" s="3">
        <v>207.7</v>
      </c>
      <c r="D122" s="3">
        <v>175.2</v>
      </c>
      <c r="E122" s="3">
        <v>177.3</v>
      </c>
      <c r="F122" s="3">
        <v>179.3</v>
      </c>
      <c r="G122" s="3">
        <v>169.5</v>
      </c>
      <c r="H122" s="3">
        <v>152.69999999999999</v>
      </c>
      <c r="I122" s="3">
        <v>171</v>
      </c>
      <c r="J122" s="3">
        <v>120</v>
      </c>
      <c r="K122" s="3">
        <v>209.7</v>
      </c>
      <c r="L122" s="3">
        <v>172.3</v>
      </c>
      <c r="M122" s="15">
        <v>193</v>
      </c>
      <c r="N122" s="3">
        <v>177</v>
      </c>
      <c r="O122" s="3">
        <v>199.5</v>
      </c>
      <c r="P122" s="3">
        <v>186.2</v>
      </c>
      <c r="Q122" s="3">
        <v>178.7</v>
      </c>
      <c r="R122" s="3">
        <v>185.1</v>
      </c>
      <c r="S122" s="3">
        <v>173.5</v>
      </c>
      <c r="T122" s="3">
        <v>182.1</v>
      </c>
      <c r="U122" s="3">
        <v>174.2</v>
      </c>
      <c r="V122" s="3">
        <v>184.4</v>
      </c>
      <c r="W122" s="3">
        <v>164.2</v>
      </c>
      <c r="X122" s="3">
        <v>170.3</v>
      </c>
      <c r="Y122" s="3">
        <v>175</v>
      </c>
      <c r="Z122" s="3">
        <v>181</v>
      </c>
      <c r="AA122" s="3">
        <v>174.1</v>
      </c>
      <c r="AB122" s="3">
        <v>177.2</v>
      </c>
      <c r="AC122" s="3">
        <v>2</v>
      </c>
      <c r="AD122" s="8">
        <v>44958</v>
      </c>
    </row>
    <row r="123" spans="1:30" x14ac:dyDescent="0.35">
      <c r="A123" s="4" t="s">
        <v>34</v>
      </c>
      <c r="B123" s="2">
        <v>174.4</v>
      </c>
      <c r="C123" s="2">
        <v>207.7</v>
      </c>
      <c r="D123" s="2">
        <v>175.2</v>
      </c>
      <c r="E123" s="2">
        <v>177.3</v>
      </c>
      <c r="F123" s="2">
        <v>179.2</v>
      </c>
      <c r="G123" s="2">
        <v>169.5</v>
      </c>
      <c r="H123" s="2">
        <v>152.80000000000001</v>
      </c>
      <c r="I123" s="2">
        <v>171.1</v>
      </c>
      <c r="J123" s="2">
        <v>120</v>
      </c>
      <c r="K123" s="2">
        <v>209.7</v>
      </c>
      <c r="L123" s="2">
        <v>172.3</v>
      </c>
      <c r="M123" s="16">
        <v>193</v>
      </c>
      <c r="N123" s="2">
        <v>177</v>
      </c>
      <c r="O123" s="2">
        <v>199.5</v>
      </c>
      <c r="P123" s="2">
        <v>186.1</v>
      </c>
      <c r="Q123" s="2">
        <v>178.7</v>
      </c>
      <c r="R123" s="2">
        <v>185.1</v>
      </c>
      <c r="S123" s="2">
        <v>173.5</v>
      </c>
      <c r="T123" s="2">
        <v>181.9</v>
      </c>
      <c r="U123" s="2">
        <v>174.2</v>
      </c>
      <c r="V123" s="2">
        <v>184.4</v>
      </c>
      <c r="W123" s="2">
        <v>164.2</v>
      </c>
      <c r="X123" s="2">
        <v>170.3</v>
      </c>
      <c r="Y123" s="2">
        <v>175</v>
      </c>
      <c r="Z123" s="2">
        <v>181</v>
      </c>
      <c r="AA123" s="2">
        <v>174.1</v>
      </c>
      <c r="AB123" s="2">
        <v>177.2</v>
      </c>
      <c r="AC123" s="2">
        <v>3</v>
      </c>
      <c r="AD123" s="9">
        <v>44986</v>
      </c>
    </row>
    <row r="124" spans="1:30" x14ac:dyDescent="0.35">
      <c r="A124" s="5" t="s">
        <v>34</v>
      </c>
      <c r="B124" s="3">
        <v>173.8</v>
      </c>
      <c r="C124" s="3">
        <v>209.3</v>
      </c>
      <c r="D124" s="3">
        <v>169.6</v>
      </c>
      <c r="E124" s="3">
        <v>178.4</v>
      </c>
      <c r="F124" s="3">
        <v>174.9</v>
      </c>
      <c r="G124" s="3">
        <v>176.3</v>
      </c>
      <c r="H124" s="3">
        <v>155.4</v>
      </c>
      <c r="I124" s="3">
        <v>173.4</v>
      </c>
      <c r="J124" s="3">
        <v>121.3</v>
      </c>
      <c r="K124" s="3">
        <v>212.9</v>
      </c>
      <c r="L124" s="3">
        <v>172.9</v>
      </c>
      <c r="M124" s="15">
        <v>193.5</v>
      </c>
      <c r="N124" s="3">
        <v>177.9</v>
      </c>
      <c r="O124" s="3">
        <v>200.6</v>
      </c>
      <c r="P124" s="3">
        <v>186.9</v>
      </c>
      <c r="Q124" s="3">
        <v>179.2</v>
      </c>
      <c r="R124" s="3">
        <v>185.7</v>
      </c>
      <c r="S124" s="3">
        <v>175.2</v>
      </c>
      <c r="T124" s="3">
        <v>181.7</v>
      </c>
      <c r="U124" s="3">
        <v>174.6</v>
      </c>
      <c r="V124" s="3">
        <v>185</v>
      </c>
      <c r="W124" s="3">
        <v>164.5</v>
      </c>
      <c r="X124" s="3">
        <v>170.7</v>
      </c>
      <c r="Y124" s="3">
        <v>176.4</v>
      </c>
      <c r="Z124" s="3">
        <v>184</v>
      </c>
      <c r="AA124" s="3">
        <v>175</v>
      </c>
      <c r="AB124" s="3">
        <v>178.1</v>
      </c>
      <c r="AC124" s="3">
        <v>4</v>
      </c>
      <c r="AD124" s="8">
        <v>45017</v>
      </c>
    </row>
    <row r="125" spans="1:30" x14ac:dyDescent="0.35">
      <c r="A125" s="4" t="s">
        <v>34</v>
      </c>
      <c r="B125" s="2">
        <v>173.7</v>
      </c>
      <c r="C125" s="2">
        <v>214.3</v>
      </c>
      <c r="D125" s="2">
        <v>173.2</v>
      </c>
      <c r="E125" s="2">
        <v>179.5</v>
      </c>
      <c r="F125" s="2">
        <v>170</v>
      </c>
      <c r="G125" s="2">
        <v>172.2</v>
      </c>
      <c r="H125" s="2">
        <v>161</v>
      </c>
      <c r="I125" s="2">
        <v>175.6</v>
      </c>
      <c r="J125" s="2">
        <v>122.7</v>
      </c>
      <c r="K125" s="2">
        <v>218</v>
      </c>
      <c r="L125" s="2">
        <v>173.4</v>
      </c>
      <c r="M125" s="16">
        <v>194.2</v>
      </c>
      <c r="N125" s="2">
        <v>179.1</v>
      </c>
      <c r="O125" s="2">
        <v>201</v>
      </c>
      <c r="P125" s="2">
        <v>187.3</v>
      </c>
      <c r="Q125" s="2">
        <v>179.7</v>
      </c>
      <c r="R125" s="2">
        <v>186.2</v>
      </c>
      <c r="S125" s="2">
        <v>175.6</v>
      </c>
      <c r="T125" s="2">
        <v>182.8</v>
      </c>
      <c r="U125" s="2">
        <v>175.2</v>
      </c>
      <c r="V125" s="2">
        <v>185.7</v>
      </c>
      <c r="W125" s="2">
        <v>164.8</v>
      </c>
      <c r="X125" s="2">
        <v>171.2</v>
      </c>
      <c r="Y125" s="2">
        <v>177.1</v>
      </c>
      <c r="Z125" s="2">
        <v>185.2</v>
      </c>
      <c r="AA125" s="2">
        <v>175.7</v>
      </c>
      <c r="AB125" s="2">
        <v>179.1</v>
      </c>
      <c r="AC125" s="2">
        <v>5</v>
      </c>
      <c r="AD125" s="9">
        <v>45047</v>
      </c>
    </row>
  </sheetData>
  <autoFilter ref="A1:AD125" xr:uid="{4F3EE560-982B-4D34-BA6F-EACC707620C5}">
    <filterColumn colId="29">
      <filters>
        <dateGroupItem year="2023" dateTimeGrouping="year"/>
        <dateGroupItem year="2022" dateTimeGrouping="year"/>
        <dateGroupItem year="2021" dateTimeGrouping="year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6678-B120-47B5-A878-A127D712906A}">
  <dimension ref="A1:AH14"/>
  <sheetViews>
    <sheetView zoomScaleNormal="100" workbookViewId="0">
      <selection activeCell="D7" sqref="D6:D7"/>
    </sheetView>
  </sheetViews>
  <sheetFormatPr defaultRowHeight="14.5" x14ac:dyDescent="0.35"/>
  <cols>
    <col min="1" max="1" width="19" bestFit="1" customWidth="1"/>
    <col min="2" max="2" width="17.54296875" customWidth="1"/>
    <col min="3" max="3" width="17.26953125" customWidth="1"/>
    <col min="4" max="4" width="11.81640625" customWidth="1"/>
    <col min="5" max="5" width="11.36328125" bestFit="1" customWidth="1"/>
    <col min="6" max="6" width="18.6328125" bestFit="1" customWidth="1"/>
    <col min="11" max="11" width="5.81640625" bestFit="1" customWidth="1"/>
    <col min="12" max="12" width="10" bestFit="1" customWidth="1"/>
    <col min="17" max="17" width="31.26953125" bestFit="1" customWidth="1"/>
    <col min="19" max="19" width="25.26953125" bestFit="1" customWidth="1"/>
    <col min="20" max="20" width="7.7265625" bestFit="1" customWidth="1"/>
    <col min="21" max="21" width="8.81640625" bestFit="1" customWidth="1"/>
    <col min="25" max="25" width="26.26953125" bestFit="1" customWidth="1"/>
    <col min="34" max="34" width="9.08984375" bestFit="1" customWidth="1"/>
  </cols>
  <sheetData>
    <row r="1" spans="1:34" ht="20" x14ac:dyDescent="0.4">
      <c r="A1" s="42" t="s">
        <v>96</v>
      </c>
    </row>
    <row r="2" spans="1:34" x14ac:dyDescent="0.35">
      <c r="A2" t="s">
        <v>97</v>
      </c>
      <c r="B2" t="s">
        <v>94</v>
      </c>
      <c r="C2" t="s">
        <v>58</v>
      </c>
      <c r="E2" s="6" t="s">
        <v>0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49</v>
      </c>
      <c r="AH2" s="10" t="s">
        <v>50</v>
      </c>
    </row>
    <row r="3" spans="1:34" x14ac:dyDescent="0.35">
      <c r="A3" t="s">
        <v>51</v>
      </c>
      <c r="B3" s="12">
        <f>AVERAGE(F3:Q3)</f>
        <v>177.31666666666669</v>
      </c>
      <c r="C3" s="22">
        <f t="shared" ref="C3:C13" si="0">B3/$B$14</f>
        <v>8.9510171801645666E-2</v>
      </c>
      <c r="D3" s="13"/>
      <c r="E3" s="4" t="s">
        <v>34</v>
      </c>
      <c r="F3" s="2">
        <v>173.7</v>
      </c>
      <c r="G3" s="2">
        <v>214.3</v>
      </c>
      <c r="H3" s="2">
        <v>173.2</v>
      </c>
      <c r="I3" s="2">
        <v>179.5</v>
      </c>
      <c r="J3" s="2">
        <v>170</v>
      </c>
      <c r="K3" s="2">
        <v>172.2</v>
      </c>
      <c r="L3" s="2">
        <v>161</v>
      </c>
      <c r="M3" s="2">
        <v>175.6</v>
      </c>
      <c r="N3" s="2">
        <v>122.7</v>
      </c>
      <c r="O3" s="2">
        <v>218</v>
      </c>
      <c r="P3" s="2">
        <v>173.4</v>
      </c>
      <c r="Q3" s="2">
        <v>194.2</v>
      </c>
      <c r="R3" s="2">
        <v>179.1</v>
      </c>
      <c r="S3" s="2">
        <v>201</v>
      </c>
      <c r="T3" s="2">
        <v>187.3</v>
      </c>
      <c r="U3" s="2">
        <v>179.7</v>
      </c>
      <c r="V3" s="2">
        <v>186.2</v>
      </c>
      <c r="W3" s="2">
        <v>175.6</v>
      </c>
      <c r="X3" s="2">
        <v>182.8</v>
      </c>
      <c r="Y3" s="2">
        <v>175.2</v>
      </c>
      <c r="Z3" s="2">
        <v>185.7</v>
      </c>
      <c r="AA3" s="2">
        <v>164.8</v>
      </c>
      <c r="AB3" s="2">
        <v>171.2</v>
      </c>
      <c r="AC3" s="2">
        <v>177.1</v>
      </c>
      <c r="AD3" s="2">
        <v>185.2</v>
      </c>
      <c r="AE3" s="2">
        <v>175.7</v>
      </c>
      <c r="AF3" s="2">
        <v>179.1</v>
      </c>
      <c r="AG3" s="2">
        <v>5</v>
      </c>
      <c r="AH3" s="9">
        <v>45047</v>
      </c>
    </row>
    <row r="4" spans="1:34" x14ac:dyDescent="0.35">
      <c r="A4" t="s">
        <v>52</v>
      </c>
      <c r="B4">
        <f>S3</f>
        <v>201</v>
      </c>
      <c r="C4" s="22">
        <f t="shared" si="0"/>
        <v>0.10146561443066517</v>
      </c>
      <c r="D4" s="13"/>
    </row>
    <row r="5" spans="1:34" x14ac:dyDescent="0.35">
      <c r="A5" t="s">
        <v>17</v>
      </c>
      <c r="B5">
        <f>AVERAGE(T3:U3)</f>
        <v>183.5</v>
      </c>
      <c r="C5" s="22">
        <f t="shared" si="0"/>
        <v>9.2631543522522675E-2</v>
      </c>
      <c r="D5" s="13"/>
      <c r="E5" s="12"/>
    </row>
    <row r="6" spans="1:34" x14ac:dyDescent="0.35">
      <c r="A6" t="s">
        <v>20</v>
      </c>
      <c r="B6">
        <f>W3</f>
        <v>175.6</v>
      </c>
      <c r="C6" s="22">
        <f t="shared" si="0"/>
        <v>8.864359151256121E-2</v>
      </c>
      <c r="D6" s="13"/>
    </row>
    <row r="7" spans="1:34" x14ac:dyDescent="0.35">
      <c r="A7" t="s">
        <v>53</v>
      </c>
      <c r="B7">
        <f>X3</f>
        <v>182.8</v>
      </c>
      <c r="C7" s="22">
        <f t="shared" si="0"/>
        <v>9.2278180686196976E-2</v>
      </c>
      <c r="D7" s="13"/>
    </row>
    <row r="8" spans="1:34" x14ac:dyDescent="0.35">
      <c r="A8" t="s">
        <v>54</v>
      </c>
      <c r="B8">
        <f>Y3</f>
        <v>175.2</v>
      </c>
      <c r="C8" s="22">
        <f t="shared" si="0"/>
        <v>8.8441669891803659E-2</v>
      </c>
      <c r="D8" s="13"/>
    </row>
    <row r="9" spans="1:34" x14ac:dyDescent="0.35">
      <c r="A9" t="s">
        <v>23</v>
      </c>
      <c r="B9">
        <f>Z3</f>
        <v>185.7</v>
      </c>
      <c r="C9" s="22">
        <f t="shared" si="0"/>
        <v>9.3742112436689146E-2</v>
      </c>
      <c r="D9" s="13"/>
    </row>
    <row r="10" spans="1:34" x14ac:dyDescent="0.35">
      <c r="A10" t="s">
        <v>55</v>
      </c>
      <c r="B10">
        <f>AA3</f>
        <v>164.8</v>
      </c>
      <c r="C10" s="22">
        <f t="shared" si="0"/>
        <v>8.319170775210756E-2</v>
      </c>
      <c r="D10" s="13"/>
    </row>
    <row r="11" spans="1:34" x14ac:dyDescent="0.35">
      <c r="A11" t="s">
        <v>57</v>
      </c>
      <c r="B11">
        <f>AVERAGE(AB3:AC3)</f>
        <v>174.14999999999998</v>
      </c>
      <c r="C11" s="22">
        <f t="shared" si="0"/>
        <v>8.7911625637315097E-2</v>
      </c>
      <c r="D11" s="13"/>
    </row>
    <row r="12" spans="1:34" x14ac:dyDescent="0.35">
      <c r="A12" t="s">
        <v>56</v>
      </c>
      <c r="B12">
        <f>AD3</f>
        <v>185.2</v>
      </c>
      <c r="C12" s="22">
        <f t="shared" si="0"/>
        <v>9.3489710410742222E-2</v>
      </c>
      <c r="D12" s="13"/>
    </row>
    <row r="13" spans="1:34" x14ac:dyDescent="0.35">
      <c r="A13" t="s">
        <v>28</v>
      </c>
      <c r="B13">
        <f>AE3</f>
        <v>175.7</v>
      </c>
      <c r="C13" s="22">
        <f t="shared" si="0"/>
        <v>8.8694071917750583E-2</v>
      </c>
      <c r="D13" s="13"/>
    </row>
    <row r="14" spans="1:34" x14ac:dyDescent="0.35">
      <c r="A14" t="s">
        <v>95</v>
      </c>
      <c r="B14" s="12">
        <f>SUM(B3:B13)</f>
        <v>1980.9666666666667</v>
      </c>
    </row>
  </sheetData>
  <pageMargins left="0.7" right="0.7" top="0.75" bottom="0.75" header="0.3" footer="0.3"/>
  <ignoredErrors>
    <ignoredError sqref="B3 B5 B11" formulaRange="1"/>
  </ignoredErrors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FCAE-9B13-406A-930B-6CE5135C42D9}">
  <dimension ref="A1:I77"/>
  <sheetViews>
    <sheetView topLeftCell="F1" workbookViewId="0">
      <selection activeCell="Q6" sqref="Q6"/>
    </sheetView>
  </sheetViews>
  <sheetFormatPr defaultRowHeight="14.5" x14ac:dyDescent="0.35"/>
  <cols>
    <col min="3" max="3" width="12.36328125" bestFit="1" customWidth="1"/>
    <col min="4" max="4" width="9.08984375" bestFit="1" customWidth="1"/>
    <col min="5" max="5" width="12.36328125" bestFit="1" customWidth="1"/>
  </cols>
  <sheetData>
    <row r="1" spans="1:9" x14ac:dyDescent="0.35">
      <c r="A1" s="6" t="s">
        <v>0</v>
      </c>
      <c r="B1" s="1" t="s">
        <v>1</v>
      </c>
      <c r="C1" s="1" t="s">
        <v>29</v>
      </c>
      <c r="D1" s="10" t="s">
        <v>50</v>
      </c>
      <c r="E1" s="18" t="s">
        <v>59</v>
      </c>
      <c r="F1" s="18" t="s">
        <v>60</v>
      </c>
      <c r="G1" s="18" t="s">
        <v>61</v>
      </c>
    </row>
    <row r="2" spans="1:9" ht="22.5" x14ac:dyDescent="0.45">
      <c r="A2" s="5" t="s">
        <v>34</v>
      </c>
      <c r="B2" s="3">
        <v>2017</v>
      </c>
      <c r="C2" s="3">
        <v>130.30000000000001</v>
      </c>
      <c r="D2" s="8">
        <v>42736</v>
      </c>
      <c r="E2" s="11">
        <v>3.1670625494853639</v>
      </c>
      <c r="F2" s="19">
        <v>2017</v>
      </c>
      <c r="G2" s="11">
        <f>AVERAGEIFS($E:$E,$B:$B,'Q2_YoY Trend'!F2)</f>
        <v>3.3273885375365366</v>
      </c>
      <c r="I2" s="41" t="s">
        <v>98</v>
      </c>
    </row>
    <row r="3" spans="1:9" x14ac:dyDescent="0.35">
      <c r="A3" s="4" t="s">
        <v>34</v>
      </c>
      <c r="B3" s="2">
        <v>2017</v>
      </c>
      <c r="C3" s="2">
        <v>130.6</v>
      </c>
      <c r="D3" s="9">
        <v>42767</v>
      </c>
      <c r="E3" s="11">
        <v>3.6507936507936463</v>
      </c>
      <c r="F3">
        <v>2018</v>
      </c>
      <c r="G3" s="11">
        <f>AVERAGEIFS($E:$E,$B:$B,'Q2_YoY Trend'!F3)</f>
        <v>3.9676971910429089</v>
      </c>
    </row>
    <row r="4" spans="1:9" x14ac:dyDescent="0.35">
      <c r="A4" s="5" t="s">
        <v>34</v>
      </c>
      <c r="B4" s="3">
        <v>2017</v>
      </c>
      <c r="C4" s="3">
        <v>130.9</v>
      </c>
      <c r="D4" s="8">
        <v>42795</v>
      </c>
      <c r="E4" s="11">
        <v>3.8888888888888933</v>
      </c>
      <c r="F4" s="19">
        <v>2019</v>
      </c>
      <c r="G4" s="11">
        <f>AVERAGEIFS($E:$E,$B:$B,'Q2_YoY Trend'!F4)</f>
        <v>3.9729559917622894</v>
      </c>
    </row>
    <row r="5" spans="1:9" x14ac:dyDescent="0.35">
      <c r="A5" s="4" t="s">
        <v>34</v>
      </c>
      <c r="B5" s="2">
        <v>2017</v>
      </c>
      <c r="C5" s="2">
        <v>131.1</v>
      </c>
      <c r="D5" s="9">
        <v>42826</v>
      </c>
      <c r="E5" s="11">
        <v>2.9850746268656696</v>
      </c>
      <c r="F5">
        <v>2020</v>
      </c>
      <c r="G5" s="11">
        <f>AVERAGEIFS($E:$E,$B:$B,'Q2_YoY Trend'!F5)</f>
        <v>6.3156967310676686</v>
      </c>
    </row>
    <row r="6" spans="1:9" x14ac:dyDescent="0.35">
      <c r="A6" s="5" t="s">
        <v>34</v>
      </c>
      <c r="B6" s="3">
        <v>2017</v>
      </c>
      <c r="C6" s="3">
        <v>131.4</v>
      </c>
      <c r="D6" s="8">
        <v>42856</v>
      </c>
      <c r="E6" s="11">
        <v>2.1772939346811913</v>
      </c>
      <c r="F6" s="19">
        <v>2022</v>
      </c>
      <c r="G6" s="11">
        <f>AVERAGEIFS($E:$E,$B:$B,'Q2_YoY Trend'!F6)</f>
        <v>6.6240649804989218</v>
      </c>
    </row>
    <row r="7" spans="1:9" x14ac:dyDescent="0.35">
      <c r="A7" s="4" t="s">
        <v>34</v>
      </c>
      <c r="B7" s="2">
        <v>2017</v>
      </c>
      <c r="C7" s="2">
        <v>132</v>
      </c>
      <c r="D7" s="9">
        <v>42887</v>
      </c>
      <c r="E7" s="11">
        <v>1.4604150653343626</v>
      </c>
      <c r="F7">
        <v>2023</v>
      </c>
      <c r="G7" s="11">
        <f>AVERAGEIFS($E:$E,$B:$B,'Q2_YoY Trend'!F7)</f>
        <v>5.5756721664536073</v>
      </c>
    </row>
    <row r="8" spans="1:9" x14ac:dyDescent="0.35">
      <c r="A8" s="5" t="s">
        <v>34</v>
      </c>
      <c r="B8" s="3">
        <v>2017</v>
      </c>
      <c r="C8" s="3">
        <v>134.19999999999999</v>
      </c>
      <c r="D8" s="8">
        <v>42917</v>
      </c>
      <c r="E8" s="11">
        <v>2.3646071700991569</v>
      </c>
    </row>
    <row r="9" spans="1:9" x14ac:dyDescent="0.35">
      <c r="A9" s="4" t="s">
        <v>34</v>
      </c>
      <c r="B9" s="2">
        <v>2017</v>
      </c>
      <c r="C9" s="2">
        <v>135.4</v>
      </c>
      <c r="D9" s="9">
        <v>42948</v>
      </c>
      <c r="E9" s="11">
        <v>3.2799389778794903</v>
      </c>
    </row>
    <row r="10" spans="1:9" x14ac:dyDescent="0.35">
      <c r="A10" s="5" t="s">
        <v>34</v>
      </c>
      <c r="B10" s="3">
        <v>2017</v>
      </c>
      <c r="C10" s="3">
        <v>135.19999999999999</v>
      </c>
      <c r="D10" s="8">
        <v>42979</v>
      </c>
      <c r="E10" s="11">
        <v>3.2849503437738599</v>
      </c>
    </row>
    <row r="11" spans="1:9" x14ac:dyDescent="0.35">
      <c r="A11" s="4" t="s">
        <v>34</v>
      </c>
      <c r="B11" s="2">
        <v>2017</v>
      </c>
      <c r="C11" s="2">
        <v>136.1</v>
      </c>
      <c r="D11" s="9">
        <v>43009</v>
      </c>
      <c r="E11" s="11">
        <v>3.5768645357686371</v>
      </c>
    </row>
    <row r="12" spans="1:9" x14ac:dyDescent="0.35">
      <c r="A12" s="5" t="s">
        <v>34</v>
      </c>
      <c r="B12" s="3">
        <v>2017</v>
      </c>
      <c r="C12" s="3">
        <v>137.6</v>
      </c>
      <c r="D12" s="8">
        <v>43040</v>
      </c>
      <c r="E12" s="11">
        <v>4.8780487804878101</v>
      </c>
    </row>
    <row r="13" spans="1:9" x14ac:dyDescent="0.35">
      <c r="A13" s="4" t="s">
        <v>34</v>
      </c>
      <c r="B13" s="2">
        <v>2017</v>
      </c>
      <c r="C13" s="2">
        <v>137.19999999999999</v>
      </c>
      <c r="D13" s="9">
        <v>43070</v>
      </c>
      <c r="E13" s="11">
        <v>5.2147239263803549</v>
      </c>
    </row>
    <row r="14" spans="1:9" x14ac:dyDescent="0.35">
      <c r="A14" s="5" t="s">
        <v>34</v>
      </c>
      <c r="B14" s="3">
        <v>2018</v>
      </c>
      <c r="C14" s="3">
        <v>136.9</v>
      </c>
      <c r="D14" s="8">
        <v>43101</v>
      </c>
      <c r="E14" s="11">
        <v>5.0652340752110465</v>
      </c>
    </row>
    <row r="15" spans="1:9" x14ac:dyDescent="0.35">
      <c r="A15" s="4" t="s">
        <v>34</v>
      </c>
      <c r="B15" s="2">
        <v>2018</v>
      </c>
      <c r="C15" s="2">
        <v>136.4</v>
      </c>
      <c r="D15" s="9">
        <v>43132</v>
      </c>
      <c r="E15" s="11">
        <v>4.4410413476263493</v>
      </c>
    </row>
    <row r="16" spans="1:9" x14ac:dyDescent="0.35">
      <c r="A16" s="5" t="s">
        <v>34</v>
      </c>
      <c r="B16" s="3">
        <v>2018</v>
      </c>
      <c r="C16" s="3">
        <v>136.5</v>
      </c>
      <c r="D16" s="8">
        <v>43160</v>
      </c>
      <c r="E16" s="11">
        <v>4.2780748663101562</v>
      </c>
    </row>
    <row r="17" spans="1:9" x14ac:dyDescent="0.35">
      <c r="A17" s="4" t="s">
        <v>34</v>
      </c>
      <c r="B17" s="2">
        <v>2018</v>
      </c>
      <c r="C17" s="2">
        <v>137.1</v>
      </c>
      <c r="D17" s="9">
        <v>43191</v>
      </c>
      <c r="E17" s="11">
        <v>4.5766590389016022</v>
      </c>
    </row>
    <row r="18" spans="1:9" ht="18.5" x14ac:dyDescent="0.45">
      <c r="A18" s="5" t="s">
        <v>34</v>
      </c>
      <c r="B18" s="3">
        <v>2018</v>
      </c>
      <c r="C18" s="3">
        <v>137.80000000000001</v>
      </c>
      <c r="D18" s="8">
        <v>43221</v>
      </c>
      <c r="E18" s="11">
        <v>4.8706240487062447</v>
      </c>
      <c r="I18" s="23"/>
    </row>
    <row r="19" spans="1:9" x14ac:dyDescent="0.35">
      <c r="A19" s="4" t="s">
        <v>34</v>
      </c>
      <c r="B19" s="2">
        <v>2018</v>
      </c>
      <c r="C19" s="2">
        <v>138.5</v>
      </c>
      <c r="D19" s="9">
        <v>43252</v>
      </c>
      <c r="E19" s="11">
        <v>4.9242424242424239</v>
      </c>
    </row>
    <row r="20" spans="1:9" ht="15.5" x14ac:dyDescent="0.35">
      <c r="A20" s="5" t="s">
        <v>34</v>
      </c>
      <c r="B20" s="3">
        <v>2018</v>
      </c>
      <c r="C20" s="3">
        <v>139.80000000000001</v>
      </c>
      <c r="D20" s="8">
        <v>43282</v>
      </c>
      <c r="E20" s="11">
        <v>4.1728763040238617</v>
      </c>
      <c r="I20" s="24" t="s">
        <v>99</v>
      </c>
    </row>
    <row r="21" spans="1:9" x14ac:dyDescent="0.35">
      <c r="A21" s="4" t="s">
        <v>34</v>
      </c>
      <c r="B21" s="2">
        <v>2018</v>
      </c>
      <c r="C21" s="2">
        <v>140.4</v>
      </c>
      <c r="D21" s="9">
        <v>43313</v>
      </c>
      <c r="E21" s="11">
        <v>3.6927621861152145</v>
      </c>
    </row>
    <row r="22" spans="1:9" x14ac:dyDescent="0.35">
      <c r="A22" s="5" t="s">
        <v>34</v>
      </c>
      <c r="B22" s="3">
        <v>2018</v>
      </c>
      <c r="C22" s="3">
        <v>140.19999999999999</v>
      </c>
      <c r="D22" s="8">
        <v>43344</v>
      </c>
      <c r="E22" s="11">
        <v>3.6982248520710059</v>
      </c>
    </row>
    <row r="23" spans="1:9" x14ac:dyDescent="0.35">
      <c r="A23" s="4" t="s">
        <v>34</v>
      </c>
      <c r="B23" s="2">
        <v>2018</v>
      </c>
      <c r="C23" s="2">
        <v>140.80000000000001</v>
      </c>
      <c r="D23" s="9">
        <v>43374</v>
      </c>
      <c r="E23" s="11">
        <v>3.4533431300514459</v>
      </c>
    </row>
    <row r="24" spans="1:9" x14ac:dyDescent="0.35">
      <c r="A24" s="5" t="s">
        <v>34</v>
      </c>
      <c r="B24" s="3">
        <v>2018</v>
      </c>
      <c r="C24" s="3">
        <v>140.80000000000001</v>
      </c>
      <c r="D24" s="8">
        <v>43405</v>
      </c>
      <c r="E24" s="11">
        <v>2.3255813953488498</v>
      </c>
    </row>
    <row r="25" spans="1:9" x14ac:dyDescent="0.35">
      <c r="A25" s="4" t="s">
        <v>34</v>
      </c>
      <c r="B25" s="2">
        <v>2018</v>
      </c>
      <c r="C25" s="2">
        <v>140.1</v>
      </c>
      <c r="D25" s="9">
        <v>43435</v>
      </c>
      <c r="E25" s="11">
        <v>2.1137026239067098</v>
      </c>
    </row>
    <row r="26" spans="1:9" x14ac:dyDescent="0.35">
      <c r="A26" s="5" t="s">
        <v>34</v>
      </c>
      <c r="B26" s="3">
        <v>2019</v>
      </c>
      <c r="C26" s="3">
        <v>139.6</v>
      </c>
      <c r="D26" s="8">
        <v>43466</v>
      </c>
      <c r="E26" s="11">
        <v>1.972242512783045</v>
      </c>
    </row>
    <row r="27" spans="1:9" x14ac:dyDescent="0.35">
      <c r="A27" s="4" t="s">
        <v>34</v>
      </c>
      <c r="B27" s="2">
        <v>2019</v>
      </c>
      <c r="C27" s="2">
        <v>139.9</v>
      </c>
      <c r="D27" s="9">
        <v>43497</v>
      </c>
      <c r="E27" s="11">
        <v>2.5659824046920821</v>
      </c>
    </row>
    <row r="28" spans="1:9" x14ac:dyDescent="0.35">
      <c r="A28" s="5" t="s">
        <v>34</v>
      </c>
      <c r="B28" s="3">
        <v>2019</v>
      </c>
      <c r="C28" s="3">
        <v>140.4</v>
      </c>
      <c r="D28" s="8">
        <v>43525</v>
      </c>
      <c r="E28" s="11">
        <v>2.8571428571428612</v>
      </c>
    </row>
    <row r="29" spans="1:9" x14ac:dyDescent="0.35">
      <c r="A29" s="4" t="s">
        <v>34</v>
      </c>
      <c r="B29" s="2">
        <v>2019</v>
      </c>
      <c r="C29" s="2">
        <v>142</v>
      </c>
      <c r="D29" s="9">
        <v>43586</v>
      </c>
      <c r="E29" s="11">
        <v>3.5740335521517181</v>
      </c>
    </row>
    <row r="30" spans="1:9" x14ac:dyDescent="0.35">
      <c r="A30" s="5" t="s">
        <v>34</v>
      </c>
      <c r="B30" s="3">
        <v>2019</v>
      </c>
      <c r="C30" s="3">
        <v>142.9</v>
      </c>
      <c r="D30" s="8">
        <v>43617</v>
      </c>
      <c r="E30" s="11">
        <v>3.7010159651669037</v>
      </c>
    </row>
    <row r="31" spans="1:9" x14ac:dyDescent="0.35">
      <c r="A31" s="4" t="s">
        <v>34</v>
      </c>
      <c r="B31" s="2">
        <v>2019</v>
      </c>
      <c r="C31" s="2">
        <v>144.19999999999999</v>
      </c>
      <c r="D31" s="9">
        <v>43647</v>
      </c>
      <c r="E31" s="11">
        <v>4.115523465703963</v>
      </c>
    </row>
    <row r="32" spans="1:9" x14ac:dyDescent="0.35">
      <c r="A32" s="5" t="s">
        <v>34</v>
      </c>
      <c r="B32" s="3">
        <v>2019</v>
      </c>
      <c r="C32" s="3">
        <v>145</v>
      </c>
      <c r="D32" s="8">
        <v>43678</v>
      </c>
      <c r="E32" s="11">
        <v>3.7195994277539257</v>
      </c>
    </row>
    <row r="33" spans="1:5" x14ac:dyDescent="0.35">
      <c r="A33" s="4" t="s">
        <v>34</v>
      </c>
      <c r="B33" s="2">
        <v>2019</v>
      </c>
      <c r="C33" s="2">
        <v>145.80000000000001</v>
      </c>
      <c r="D33" s="9">
        <v>43709</v>
      </c>
      <c r="E33" s="11">
        <v>3.8461538461538498</v>
      </c>
    </row>
    <row r="34" spans="1:5" x14ac:dyDescent="0.35">
      <c r="A34" s="5" t="s">
        <v>34</v>
      </c>
      <c r="B34" s="3">
        <v>2019</v>
      </c>
      <c r="C34" s="3">
        <v>147.19999999999999</v>
      </c>
      <c r="D34" s="8">
        <v>43739</v>
      </c>
      <c r="E34" s="11">
        <v>4.9928673323823114</v>
      </c>
    </row>
    <row r="35" spans="1:5" x14ac:dyDescent="0.35">
      <c r="A35" s="4" t="s">
        <v>34</v>
      </c>
      <c r="B35" s="2">
        <v>2019</v>
      </c>
      <c r="C35" s="2">
        <v>148.6</v>
      </c>
      <c r="D35" s="9">
        <v>43770</v>
      </c>
      <c r="E35" s="11">
        <v>5.5397727272727151</v>
      </c>
    </row>
    <row r="36" spans="1:5" x14ac:dyDescent="0.35">
      <c r="A36" s="5" t="s">
        <v>34</v>
      </c>
      <c r="B36" s="3">
        <v>2019</v>
      </c>
      <c r="C36" s="3">
        <v>150.4</v>
      </c>
      <c r="D36" s="8">
        <v>43800</v>
      </c>
      <c r="E36" s="11">
        <v>6.8181818181818139</v>
      </c>
    </row>
    <row r="37" spans="1:5" x14ac:dyDescent="0.35">
      <c r="A37" s="4" t="s">
        <v>34</v>
      </c>
      <c r="B37" s="2">
        <v>2020</v>
      </c>
      <c r="C37" s="2">
        <v>150.19999999999999</v>
      </c>
      <c r="D37" s="9">
        <v>43831</v>
      </c>
      <c r="E37" s="11">
        <v>7.2091363311920027</v>
      </c>
    </row>
    <row r="38" spans="1:5" x14ac:dyDescent="0.35">
      <c r="A38" s="5" t="s">
        <v>34</v>
      </c>
      <c r="B38" s="3">
        <v>2020</v>
      </c>
      <c r="C38" s="3">
        <v>149.1</v>
      </c>
      <c r="D38" s="8">
        <v>43862</v>
      </c>
      <c r="E38" s="11">
        <v>6.8051575931232096</v>
      </c>
    </row>
    <row r="39" spans="1:5" x14ac:dyDescent="0.35">
      <c r="A39" s="4" t="s">
        <v>34</v>
      </c>
      <c r="B39" s="2">
        <v>2020</v>
      </c>
      <c r="C39" s="2">
        <v>148.6</v>
      </c>
      <c r="D39" s="9">
        <v>43891</v>
      </c>
      <c r="E39" s="11">
        <v>6.2187276626161463</v>
      </c>
    </row>
    <row r="40" spans="1:5" x14ac:dyDescent="0.35">
      <c r="A40" s="5" t="s">
        <v>34</v>
      </c>
      <c r="B40" s="3">
        <v>2020</v>
      </c>
      <c r="C40" s="3">
        <v>150.19999999999999</v>
      </c>
      <c r="D40" s="8">
        <v>43922</v>
      </c>
      <c r="E40" s="11">
        <v>6.9800569800569674</v>
      </c>
    </row>
    <row r="41" spans="1:5" x14ac:dyDescent="0.35">
      <c r="A41" s="4" t="s">
        <v>34</v>
      </c>
      <c r="B41" s="2">
        <v>2020</v>
      </c>
      <c r="C41" s="2">
        <v>151</v>
      </c>
      <c r="D41" s="9">
        <v>43952</v>
      </c>
      <c r="E41" s="11">
        <v>6.3380281690140841</v>
      </c>
    </row>
    <row r="42" spans="1:5" x14ac:dyDescent="0.35">
      <c r="A42" s="5" t="s">
        <v>34</v>
      </c>
      <c r="B42" s="3">
        <v>2020</v>
      </c>
      <c r="C42" s="3">
        <v>151.80000000000001</v>
      </c>
      <c r="D42" s="8">
        <v>43983</v>
      </c>
      <c r="E42" s="11">
        <v>6.2281315605318444</v>
      </c>
    </row>
    <row r="43" spans="1:5" x14ac:dyDescent="0.35">
      <c r="A43" s="4" t="s">
        <v>34</v>
      </c>
      <c r="B43" s="2">
        <v>2020</v>
      </c>
      <c r="C43" s="2">
        <v>151.80000000000001</v>
      </c>
      <c r="D43" s="9">
        <v>44013</v>
      </c>
      <c r="E43" s="11">
        <v>5.27045769764218</v>
      </c>
    </row>
    <row r="44" spans="1:5" x14ac:dyDescent="0.35">
      <c r="A44" s="5" t="s">
        <v>34</v>
      </c>
      <c r="B44" s="3">
        <v>2020</v>
      </c>
      <c r="C44" s="3">
        <v>153.9</v>
      </c>
      <c r="D44" s="8">
        <v>44044</v>
      </c>
      <c r="E44" s="11">
        <v>6.1379310344827624</v>
      </c>
    </row>
    <row r="45" spans="1:5" x14ac:dyDescent="0.35">
      <c r="A45" s="4" t="s">
        <v>34</v>
      </c>
      <c r="B45" s="2">
        <v>2020</v>
      </c>
      <c r="C45" s="2">
        <v>154.69999999999999</v>
      </c>
      <c r="D45" s="9">
        <v>44075</v>
      </c>
      <c r="E45" s="11">
        <v>6.1042524005486802</v>
      </c>
    </row>
    <row r="46" spans="1:5" x14ac:dyDescent="0.35">
      <c r="A46" s="5" t="s">
        <v>34</v>
      </c>
      <c r="B46" s="3">
        <v>2020</v>
      </c>
      <c r="C46" s="3">
        <v>156.4</v>
      </c>
      <c r="D46" s="8">
        <v>44105</v>
      </c>
      <c r="E46" s="11">
        <v>6.2500000000000124</v>
      </c>
    </row>
    <row r="47" spans="1:5" x14ac:dyDescent="0.35">
      <c r="A47" s="4" t="s">
        <v>34</v>
      </c>
      <c r="B47" s="2">
        <v>2020</v>
      </c>
      <c r="C47" s="2">
        <v>158.4</v>
      </c>
      <c r="D47" s="9">
        <v>44136</v>
      </c>
      <c r="E47" s="11">
        <v>6.594885598923292</v>
      </c>
    </row>
    <row r="48" spans="1:5" x14ac:dyDescent="0.35">
      <c r="A48" s="5" t="s">
        <v>34</v>
      </c>
      <c r="B48" s="3">
        <v>2020</v>
      </c>
      <c r="C48" s="3">
        <v>158.9</v>
      </c>
      <c r="D48" s="8">
        <v>44166</v>
      </c>
      <c r="E48" s="11">
        <v>5.6515957446808507</v>
      </c>
    </row>
    <row r="49" spans="1:5" x14ac:dyDescent="0.35">
      <c r="A49" s="4" t="s">
        <v>34</v>
      </c>
      <c r="B49" s="2">
        <v>2021</v>
      </c>
      <c r="C49" s="2">
        <v>157.30000000000001</v>
      </c>
      <c r="D49" s="9">
        <v>44197</v>
      </c>
      <c r="E49" s="11">
        <v>4.7270306258322385</v>
      </c>
    </row>
    <row r="50" spans="1:5" x14ac:dyDescent="0.35">
      <c r="A50" s="5" t="s">
        <v>34</v>
      </c>
      <c r="B50" s="3">
        <v>2021</v>
      </c>
      <c r="C50" s="3">
        <v>156.6</v>
      </c>
      <c r="D50" s="8">
        <v>44228</v>
      </c>
      <c r="E50" s="11">
        <v>5.0301810865191152</v>
      </c>
    </row>
    <row r="51" spans="1:5" x14ac:dyDescent="0.35">
      <c r="A51" s="4" t="s">
        <v>34</v>
      </c>
      <c r="B51" s="2">
        <v>2021</v>
      </c>
      <c r="C51" s="2">
        <v>156.80000000000001</v>
      </c>
      <c r="D51" s="9">
        <v>44256</v>
      </c>
      <c r="E51" s="11">
        <v>5.5181695827725559</v>
      </c>
    </row>
    <row r="52" spans="1:5" x14ac:dyDescent="0.35">
      <c r="A52" s="5" t="s">
        <v>34</v>
      </c>
      <c r="B52" s="3">
        <v>2021</v>
      </c>
      <c r="C52" s="3">
        <v>157.80000000000001</v>
      </c>
      <c r="D52" s="8">
        <v>44287</v>
      </c>
      <c r="E52" s="11">
        <v>5.0599201065246495</v>
      </c>
    </row>
    <row r="53" spans="1:5" x14ac:dyDescent="0.35">
      <c r="A53" s="4" t="s">
        <v>34</v>
      </c>
      <c r="B53" s="2">
        <v>2021</v>
      </c>
      <c r="C53" s="2">
        <v>160.4</v>
      </c>
      <c r="D53" s="9">
        <v>44317</v>
      </c>
      <c r="E53" s="11">
        <v>6.2251655629139115</v>
      </c>
    </row>
    <row r="54" spans="1:5" x14ac:dyDescent="0.35">
      <c r="A54" s="5" t="s">
        <v>34</v>
      </c>
      <c r="B54" s="3">
        <v>2021</v>
      </c>
      <c r="C54" s="3">
        <v>161.30000000000001</v>
      </c>
      <c r="D54" s="8">
        <v>44348</v>
      </c>
      <c r="E54" s="11">
        <v>6.2582345191040831</v>
      </c>
    </row>
    <row r="55" spans="1:5" x14ac:dyDescent="0.35">
      <c r="A55" s="4" t="s">
        <v>34</v>
      </c>
      <c r="B55" s="2">
        <v>2021</v>
      </c>
      <c r="C55" s="2">
        <v>162.5</v>
      </c>
      <c r="D55" s="9">
        <v>44378</v>
      </c>
      <c r="E55" s="11">
        <v>7.0487483530961708</v>
      </c>
    </row>
    <row r="56" spans="1:5" x14ac:dyDescent="0.35">
      <c r="A56" s="5" t="s">
        <v>34</v>
      </c>
      <c r="B56" s="3">
        <v>2021</v>
      </c>
      <c r="C56" s="3">
        <v>163.19999999999999</v>
      </c>
      <c r="D56" s="8">
        <v>44409</v>
      </c>
      <c r="E56" s="11">
        <v>6.0428849902534001</v>
      </c>
    </row>
    <row r="57" spans="1:5" x14ac:dyDescent="0.35">
      <c r="A57" s="4" t="s">
        <v>34</v>
      </c>
      <c r="B57" s="2">
        <v>2021</v>
      </c>
      <c r="C57" s="2">
        <v>163.19999999999999</v>
      </c>
      <c r="D57" s="9">
        <v>44440</v>
      </c>
      <c r="E57" s="11">
        <v>5.4945054945054954</v>
      </c>
    </row>
    <row r="58" spans="1:5" x14ac:dyDescent="0.35">
      <c r="A58" s="5" t="s">
        <v>34</v>
      </c>
      <c r="B58" s="3">
        <v>2021</v>
      </c>
      <c r="C58" s="3">
        <v>165.5</v>
      </c>
      <c r="D58" s="8">
        <v>44470</v>
      </c>
      <c r="E58" s="11">
        <v>5.8184143222506357</v>
      </c>
    </row>
    <row r="59" spans="1:5" x14ac:dyDescent="0.35">
      <c r="A59" s="4" t="s">
        <v>34</v>
      </c>
      <c r="B59" s="2">
        <v>2021</v>
      </c>
      <c r="C59" s="2">
        <v>166.7</v>
      </c>
      <c r="D59" s="9">
        <v>44501</v>
      </c>
      <c r="E59" s="11">
        <v>5.239898989898979</v>
      </c>
    </row>
    <row r="60" spans="1:5" x14ac:dyDescent="0.35">
      <c r="A60" s="5" t="s">
        <v>34</v>
      </c>
      <c r="B60" s="3">
        <v>2021</v>
      </c>
      <c r="C60" s="3">
        <v>166.2</v>
      </c>
      <c r="D60" s="8">
        <v>44531</v>
      </c>
      <c r="E60" s="11">
        <v>4.5940843297671385</v>
      </c>
    </row>
    <row r="61" spans="1:5" x14ac:dyDescent="0.35">
      <c r="A61" s="4" t="s">
        <v>34</v>
      </c>
      <c r="B61" s="2">
        <v>2022</v>
      </c>
      <c r="C61" s="2">
        <v>165.7</v>
      </c>
      <c r="D61" s="9">
        <v>44562</v>
      </c>
      <c r="E61" s="11">
        <v>5.3401144310235074</v>
      </c>
    </row>
    <row r="62" spans="1:5" x14ac:dyDescent="0.35">
      <c r="A62" s="5" t="s">
        <v>34</v>
      </c>
      <c r="B62" s="3">
        <v>2022</v>
      </c>
      <c r="C62" s="3">
        <v>166.1</v>
      </c>
      <c r="D62" s="8">
        <v>44593</v>
      </c>
      <c r="E62" s="11">
        <v>6.0664112388250322</v>
      </c>
    </row>
    <row r="63" spans="1:5" x14ac:dyDescent="0.35">
      <c r="A63" s="4" t="s">
        <v>34</v>
      </c>
      <c r="B63" s="2">
        <v>2022</v>
      </c>
      <c r="C63" s="2">
        <v>167.7</v>
      </c>
      <c r="D63" s="9">
        <v>44621</v>
      </c>
      <c r="E63" s="11">
        <v>6.9515306122448823</v>
      </c>
    </row>
    <row r="64" spans="1:5" x14ac:dyDescent="0.35">
      <c r="A64" s="5" t="s">
        <v>34</v>
      </c>
      <c r="B64" s="3">
        <v>2022</v>
      </c>
      <c r="C64" s="3">
        <v>170.1</v>
      </c>
      <c r="D64" s="8">
        <v>44652</v>
      </c>
      <c r="E64" s="11">
        <v>7.7946768060836389</v>
      </c>
    </row>
    <row r="65" spans="1:5" x14ac:dyDescent="0.35">
      <c r="A65" s="4" t="s">
        <v>34</v>
      </c>
      <c r="B65" s="2">
        <v>2022</v>
      </c>
      <c r="C65" s="2">
        <v>171.7</v>
      </c>
      <c r="D65" s="9">
        <v>44682</v>
      </c>
      <c r="E65" s="11">
        <v>7.044887780548617</v>
      </c>
    </row>
    <row r="66" spans="1:5" x14ac:dyDescent="0.35">
      <c r="A66" s="5" t="s">
        <v>34</v>
      </c>
      <c r="B66" s="3">
        <v>2022</v>
      </c>
      <c r="C66" s="3">
        <v>172.6</v>
      </c>
      <c r="D66" s="8">
        <v>44713</v>
      </c>
      <c r="E66" s="11">
        <v>7.0055796652200755</v>
      </c>
    </row>
    <row r="67" spans="1:5" x14ac:dyDescent="0.35">
      <c r="A67" s="4" t="s">
        <v>34</v>
      </c>
      <c r="B67" s="2">
        <v>2022</v>
      </c>
      <c r="C67" s="2">
        <v>173.4</v>
      </c>
      <c r="D67" s="9">
        <v>44743</v>
      </c>
      <c r="E67" s="11">
        <v>6.7076923076923114</v>
      </c>
    </row>
    <row r="68" spans="1:5" x14ac:dyDescent="0.35">
      <c r="A68" s="5" t="s">
        <v>34</v>
      </c>
      <c r="B68" s="3">
        <v>2022</v>
      </c>
      <c r="C68" s="3">
        <v>174.3</v>
      </c>
      <c r="D68" s="8">
        <v>44774</v>
      </c>
      <c r="E68" s="11">
        <v>6.8014705882353086</v>
      </c>
    </row>
    <row r="69" spans="1:5" x14ac:dyDescent="0.35">
      <c r="A69" s="4" t="s">
        <v>34</v>
      </c>
      <c r="B69" s="2">
        <v>2022</v>
      </c>
      <c r="C69" s="2">
        <v>175.3</v>
      </c>
      <c r="D69" s="9">
        <v>44805</v>
      </c>
      <c r="E69" s="11">
        <v>7.4142156862745239</v>
      </c>
    </row>
    <row r="70" spans="1:5" x14ac:dyDescent="0.35">
      <c r="A70" s="5" t="s">
        <v>34</v>
      </c>
      <c r="B70" s="3">
        <v>2022</v>
      </c>
      <c r="C70" s="3">
        <v>176.7</v>
      </c>
      <c r="D70" s="8">
        <v>44835</v>
      </c>
      <c r="E70" s="11">
        <v>6.7673716012084526</v>
      </c>
    </row>
    <row r="71" spans="1:5" x14ac:dyDescent="0.35">
      <c r="A71" s="4" t="s">
        <v>34</v>
      </c>
      <c r="B71" s="2">
        <v>2022</v>
      </c>
      <c r="C71" s="2">
        <v>176.5</v>
      </c>
      <c r="D71" s="9">
        <v>44866</v>
      </c>
      <c r="E71" s="11">
        <v>5.8788242351529769</v>
      </c>
    </row>
    <row r="72" spans="1:5" x14ac:dyDescent="0.35">
      <c r="A72" s="5" t="s">
        <v>34</v>
      </c>
      <c r="B72" s="3">
        <v>2022</v>
      </c>
      <c r="C72" s="3">
        <v>175.7</v>
      </c>
      <c r="D72" s="8">
        <v>44896</v>
      </c>
      <c r="E72" s="11">
        <v>5.7160048134777384</v>
      </c>
    </row>
    <row r="73" spans="1:5" x14ac:dyDescent="0.35">
      <c r="A73" s="4" t="s">
        <v>34</v>
      </c>
      <c r="B73" s="2">
        <v>2023</v>
      </c>
      <c r="C73" s="2">
        <v>176.5</v>
      </c>
      <c r="D73" s="9">
        <v>44927</v>
      </c>
      <c r="E73" s="11">
        <v>6.5178032589016377</v>
      </c>
    </row>
    <row r="74" spans="1:5" x14ac:dyDescent="0.35">
      <c r="A74" s="5" t="s">
        <v>34</v>
      </c>
      <c r="B74" s="3">
        <v>2023</v>
      </c>
      <c r="C74" s="3">
        <v>177.2</v>
      </c>
      <c r="D74" s="8">
        <v>44958</v>
      </c>
      <c r="E74" s="11">
        <v>6.6827212522576733</v>
      </c>
    </row>
    <row r="75" spans="1:5" x14ac:dyDescent="0.35">
      <c r="A75" s="4" t="s">
        <v>34</v>
      </c>
      <c r="B75" s="2">
        <v>2023</v>
      </c>
      <c r="C75" s="2">
        <v>177.2</v>
      </c>
      <c r="D75" s="9">
        <v>44986</v>
      </c>
      <c r="E75" s="11">
        <v>5.6648777579010146</v>
      </c>
    </row>
    <row r="76" spans="1:5" x14ac:dyDescent="0.35">
      <c r="A76" s="5" t="s">
        <v>34</v>
      </c>
      <c r="B76" s="3">
        <v>2023</v>
      </c>
      <c r="C76" s="3">
        <v>178.1</v>
      </c>
      <c r="D76" s="8">
        <v>45017</v>
      </c>
      <c r="E76" s="11">
        <v>4.7031158142269254</v>
      </c>
    </row>
    <row r="77" spans="1:5" x14ac:dyDescent="0.35">
      <c r="A77" s="4" t="s">
        <v>34</v>
      </c>
      <c r="B77" s="2">
        <v>2023</v>
      </c>
      <c r="C77" s="2">
        <v>179.1</v>
      </c>
      <c r="D77" s="9">
        <v>45047</v>
      </c>
      <c r="E77" s="11">
        <v>4.3098427489807838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9E25-7DCE-4ABD-91BA-FA269C4DCFD4}">
  <dimension ref="A1:AG30"/>
  <sheetViews>
    <sheetView zoomScale="95" zoomScaleNormal="95" workbookViewId="0">
      <selection activeCell="Z23" sqref="Z23"/>
    </sheetView>
  </sheetViews>
  <sheetFormatPr defaultRowHeight="14.5" x14ac:dyDescent="0.35"/>
  <cols>
    <col min="1" max="1" width="31.26953125" bestFit="1" customWidth="1"/>
    <col min="3" max="3" width="9.08984375" customWidth="1"/>
    <col min="4" max="4" width="12.54296875" customWidth="1"/>
    <col min="10" max="10" width="16.6328125" bestFit="1" customWidth="1"/>
    <col min="11" max="11" width="17.81640625" bestFit="1" customWidth="1"/>
    <col min="12" max="12" width="9.08984375" bestFit="1" customWidth="1"/>
    <col min="16" max="16" width="17.7265625" bestFit="1" customWidth="1"/>
    <col min="30" max="30" width="12.36328125" bestFit="1" customWidth="1"/>
    <col min="31" max="31" width="9.08984375" bestFit="1" customWidth="1"/>
    <col min="32" max="32" width="10.6328125" bestFit="1" customWidth="1"/>
    <col min="33" max="33" width="11.453125" style="13" bestFit="1" customWidth="1"/>
  </cols>
  <sheetData>
    <row r="1" spans="1:33" x14ac:dyDescent="0.3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0" t="s">
        <v>50</v>
      </c>
      <c r="AF1" s="18" t="s">
        <v>62</v>
      </c>
      <c r="AG1" s="20" t="s">
        <v>63</v>
      </c>
    </row>
    <row r="2" spans="1:33" x14ac:dyDescent="0.35">
      <c r="A2" s="5" t="s">
        <v>34</v>
      </c>
      <c r="B2" s="3">
        <v>2022</v>
      </c>
      <c r="C2" s="3" t="s">
        <v>39</v>
      </c>
      <c r="D2" s="3">
        <v>155</v>
      </c>
      <c r="E2" s="3">
        <v>219.4</v>
      </c>
      <c r="F2" s="3">
        <v>170.8</v>
      </c>
      <c r="G2" s="3">
        <v>165.8</v>
      </c>
      <c r="H2" s="3">
        <v>200.9</v>
      </c>
      <c r="I2" s="3">
        <v>169.7</v>
      </c>
      <c r="J2" s="3">
        <v>182.3</v>
      </c>
      <c r="K2" s="3">
        <v>164.3</v>
      </c>
      <c r="L2" s="3">
        <v>119.9</v>
      </c>
      <c r="M2" s="3">
        <v>187.1</v>
      </c>
      <c r="N2" s="3">
        <v>167.9</v>
      </c>
      <c r="O2" s="3">
        <v>183.9</v>
      </c>
      <c r="P2" s="3">
        <v>174.9</v>
      </c>
      <c r="Q2" s="3">
        <v>194.3</v>
      </c>
      <c r="R2" s="3">
        <v>177.1</v>
      </c>
      <c r="S2" s="3">
        <v>169.9</v>
      </c>
      <c r="T2" s="3">
        <v>176</v>
      </c>
      <c r="U2" s="3">
        <v>166.8</v>
      </c>
      <c r="V2" s="3">
        <v>176</v>
      </c>
      <c r="W2" s="3">
        <v>166.4</v>
      </c>
      <c r="X2" s="3">
        <v>175.4</v>
      </c>
      <c r="Y2" s="3">
        <v>161.1</v>
      </c>
      <c r="Z2" s="3">
        <v>165.8</v>
      </c>
      <c r="AA2" s="3">
        <v>169</v>
      </c>
      <c r="AB2" s="3">
        <v>169.4</v>
      </c>
      <c r="AC2" s="3">
        <v>167.5</v>
      </c>
      <c r="AD2" s="3">
        <v>172.6</v>
      </c>
      <c r="AE2" s="8">
        <v>44713</v>
      </c>
      <c r="AF2">
        <f>AVERAGE(D2:O2)</f>
        <v>173.91666666666666</v>
      </c>
    </row>
    <row r="3" spans="1:33" x14ac:dyDescent="0.35">
      <c r="A3" s="4" t="s">
        <v>34</v>
      </c>
      <c r="B3" s="2">
        <v>2022</v>
      </c>
      <c r="C3" s="2" t="s">
        <v>40</v>
      </c>
      <c r="D3" s="2">
        <v>156.5</v>
      </c>
      <c r="E3" s="2">
        <v>213</v>
      </c>
      <c r="F3" s="2">
        <v>175.2</v>
      </c>
      <c r="G3" s="2">
        <v>166.6</v>
      </c>
      <c r="H3" s="2">
        <v>195.8</v>
      </c>
      <c r="I3" s="2">
        <v>174.2</v>
      </c>
      <c r="J3" s="2">
        <v>182.1</v>
      </c>
      <c r="K3" s="2">
        <v>164.3</v>
      </c>
      <c r="L3" s="2">
        <v>120</v>
      </c>
      <c r="M3" s="2">
        <v>190</v>
      </c>
      <c r="N3" s="2">
        <v>168.4</v>
      </c>
      <c r="O3" s="2">
        <v>185.2</v>
      </c>
      <c r="P3" s="2">
        <v>175</v>
      </c>
      <c r="Q3" s="2">
        <v>194.6</v>
      </c>
      <c r="R3" s="2">
        <v>178.3</v>
      </c>
      <c r="S3" s="2">
        <v>171.3</v>
      </c>
      <c r="T3" s="2">
        <v>177.3</v>
      </c>
      <c r="U3" s="2">
        <v>167.8</v>
      </c>
      <c r="V3" s="2">
        <v>179.6</v>
      </c>
      <c r="W3" s="2">
        <v>167.4</v>
      </c>
      <c r="X3" s="2">
        <v>176.1</v>
      </c>
      <c r="Y3" s="2">
        <v>161.6</v>
      </c>
      <c r="Z3" s="2">
        <v>166.3</v>
      </c>
      <c r="AA3" s="2">
        <v>171.4</v>
      </c>
      <c r="AB3" s="2">
        <v>169.7</v>
      </c>
      <c r="AC3" s="2">
        <v>168.4</v>
      </c>
      <c r="AD3" s="2">
        <v>173.4</v>
      </c>
      <c r="AE3" s="9">
        <v>44743</v>
      </c>
      <c r="AF3">
        <f t="shared" ref="AF3:AF13" si="0">AVERAGE(D3:O3)</f>
        <v>174.27500000000001</v>
      </c>
      <c r="AG3" s="13">
        <f>((AF3-AF2)/AF2)*100</f>
        <v>0.20603737422137913</v>
      </c>
    </row>
    <row r="4" spans="1:33" x14ac:dyDescent="0.35">
      <c r="A4" s="5" t="s">
        <v>34</v>
      </c>
      <c r="B4" s="3">
        <v>2022</v>
      </c>
      <c r="C4" s="3" t="s">
        <v>41</v>
      </c>
      <c r="D4" s="3">
        <v>160.30000000000001</v>
      </c>
      <c r="E4" s="3">
        <v>206.5</v>
      </c>
      <c r="F4" s="3">
        <v>169.2</v>
      </c>
      <c r="G4" s="3">
        <v>168.1</v>
      </c>
      <c r="H4" s="3">
        <v>192.4</v>
      </c>
      <c r="I4" s="3">
        <v>172.9</v>
      </c>
      <c r="J4" s="3">
        <v>186.7</v>
      </c>
      <c r="K4" s="3">
        <v>167.2</v>
      </c>
      <c r="L4" s="3">
        <v>120.9</v>
      </c>
      <c r="M4" s="3">
        <v>193.6</v>
      </c>
      <c r="N4" s="3">
        <v>168.8</v>
      </c>
      <c r="O4" s="3">
        <v>186.3</v>
      </c>
      <c r="P4" s="3">
        <v>176.3</v>
      </c>
      <c r="Q4" s="3">
        <v>195</v>
      </c>
      <c r="R4" s="3">
        <v>179.5</v>
      </c>
      <c r="S4" s="3">
        <v>172.7</v>
      </c>
      <c r="T4" s="3">
        <v>178.5</v>
      </c>
      <c r="U4" s="3">
        <v>169</v>
      </c>
      <c r="V4" s="3">
        <v>178.8</v>
      </c>
      <c r="W4" s="3">
        <v>168.5</v>
      </c>
      <c r="X4" s="3">
        <v>176.8</v>
      </c>
      <c r="Y4" s="3">
        <v>161.9</v>
      </c>
      <c r="Z4" s="3">
        <v>166.9</v>
      </c>
      <c r="AA4" s="3">
        <v>172.3</v>
      </c>
      <c r="AB4" s="3">
        <v>171.2</v>
      </c>
      <c r="AC4" s="3">
        <v>169.1</v>
      </c>
      <c r="AD4" s="3">
        <v>174.3</v>
      </c>
      <c r="AE4" s="8">
        <v>44774</v>
      </c>
      <c r="AF4">
        <f t="shared" si="0"/>
        <v>174.40833333333333</v>
      </c>
      <c r="AG4" s="13">
        <f t="shared" ref="AG4:AG13" si="1">((AF4-AF3)/AF3)*100</f>
        <v>7.6507435566389753E-2</v>
      </c>
    </row>
    <row r="5" spans="1:33" x14ac:dyDescent="0.35">
      <c r="A5" s="4" t="s">
        <v>34</v>
      </c>
      <c r="B5" s="2">
        <v>2022</v>
      </c>
      <c r="C5" s="2" t="s">
        <v>42</v>
      </c>
      <c r="D5" s="2">
        <v>163.5</v>
      </c>
      <c r="E5" s="2">
        <v>209.2</v>
      </c>
      <c r="F5" s="2">
        <v>169.7</v>
      </c>
      <c r="G5" s="2">
        <v>169.7</v>
      </c>
      <c r="H5" s="2">
        <v>188.7</v>
      </c>
      <c r="I5" s="2">
        <v>165.7</v>
      </c>
      <c r="J5" s="2">
        <v>191.8</v>
      </c>
      <c r="K5" s="2">
        <v>169.1</v>
      </c>
      <c r="L5" s="2">
        <v>121.6</v>
      </c>
      <c r="M5" s="2">
        <v>197.3</v>
      </c>
      <c r="N5" s="2">
        <v>169.4</v>
      </c>
      <c r="O5" s="2">
        <v>187.4</v>
      </c>
      <c r="P5" s="2">
        <v>177.8</v>
      </c>
      <c r="Q5" s="2">
        <v>195.9</v>
      </c>
      <c r="R5" s="2">
        <v>180.9</v>
      </c>
      <c r="S5" s="2">
        <v>174.3</v>
      </c>
      <c r="T5" s="2">
        <v>179.9</v>
      </c>
      <c r="U5" s="2">
        <v>169.5</v>
      </c>
      <c r="V5" s="2">
        <v>179.5</v>
      </c>
      <c r="W5" s="2">
        <v>169.5</v>
      </c>
      <c r="X5" s="2">
        <v>177.8</v>
      </c>
      <c r="Y5" s="2">
        <v>162.30000000000001</v>
      </c>
      <c r="Z5" s="2">
        <v>167.6</v>
      </c>
      <c r="AA5" s="2">
        <v>173.1</v>
      </c>
      <c r="AB5" s="2">
        <v>170.9</v>
      </c>
      <c r="AC5" s="2">
        <v>169.7</v>
      </c>
      <c r="AD5" s="2">
        <v>175.3</v>
      </c>
      <c r="AE5" s="9">
        <v>44805</v>
      </c>
      <c r="AF5">
        <f t="shared" si="0"/>
        <v>175.25833333333333</v>
      </c>
      <c r="AG5" s="13">
        <f t="shared" si="1"/>
        <v>0.487362033541972</v>
      </c>
    </row>
    <row r="6" spans="1:33" x14ac:dyDescent="0.35">
      <c r="A6" s="5" t="s">
        <v>34</v>
      </c>
      <c r="B6" s="3">
        <v>2022</v>
      </c>
      <c r="C6" s="3" t="s">
        <v>43</v>
      </c>
      <c r="D6" s="3">
        <v>165.2</v>
      </c>
      <c r="E6" s="3">
        <v>210.9</v>
      </c>
      <c r="F6" s="3">
        <v>170.9</v>
      </c>
      <c r="G6" s="3">
        <v>170.9</v>
      </c>
      <c r="H6" s="3">
        <v>186.5</v>
      </c>
      <c r="I6" s="3">
        <v>163.80000000000001</v>
      </c>
      <c r="J6" s="3">
        <v>199.7</v>
      </c>
      <c r="K6" s="3">
        <v>169.8</v>
      </c>
      <c r="L6" s="3">
        <v>121.9</v>
      </c>
      <c r="M6" s="3">
        <v>199.9</v>
      </c>
      <c r="N6" s="3">
        <v>169.9</v>
      </c>
      <c r="O6" s="3">
        <v>188.3</v>
      </c>
      <c r="P6" s="3">
        <v>179.6</v>
      </c>
      <c r="Q6" s="3">
        <v>196.3</v>
      </c>
      <c r="R6" s="3">
        <v>181.9</v>
      </c>
      <c r="S6" s="3">
        <v>175.3</v>
      </c>
      <c r="T6" s="3">
        <v>181</v>
      </c>
      <c r="U6" s="3">
        <v>171.2</v>
      </c>
      <c r="V6" s="3">
        <v>180.5</v>
      </c>
      <c r="W6" s="3">
        <v>170.4</v>
      </c>
      <c r="X6" s="3">
        <v>178.7</v>
      </c>
      <c r="Y6" s="3">
        <v>162.9</v>
      </c>
      <c r="Z6" s="3">
        <v>168.2</v>
      </c>
      <c r="AA6" s="3">
        <v>173.4</v>
      </c>
      <c r="AB6" s="3">
        <v>172.1</v>
      </c>
      <c r="AC6" s="3">
        <v>170.5</v>
      </c>
      <c r="AD6" s="3">
        <v>176.7</v>
      </c>
      <c r="AE6" s="8">
        <v>44835</v>
      </c>
      <c r="AF6">
        <f t="shared" si="0"/>
        <v>176.47500000000002</v>
      </c>
      <c r="AG6" s="13">
        <f t="shared" si="1"/>
        <v>0.694213304170052</v>
      </c>
    </row>
    <row r="7" spans="1:33" x14ac:dyDescent="0.35">
      <c r="A7" s="4" t="s">
        <v>34</v>
      </c>
      <c r="B7" s="2">
        <v>2022</v>
      </c>
      <c r="C7" s="2" t="s">
        <v>45</v>
      </c>
      <c r="D7" s="2">
        <v>167.4</v>
      </c>
      <c r="E7" s="2">
        <v>209.4</v>
      </c>
      <c r="F7" s="2">
        <v>181.4</v>
      </c>
      <c r="G7" s="2">
        <v>172.3</v>
      </c>
      <c r="H7" s="2">
        <v>188.9</v>
      </c>
      <c r="I7" s="2">
        <v>160.69999999999999</v>
      </c>
      <c r="J7" s="2">
        <v>183.1</v>
      </c>
      <c r="K7" s="2">
        <v>170.5</v>
      </c>
      <c r="L7" s="2">
        <v>122.1</v>
      </c>
      <c r="M7" s="2">
        <v>202.8</v>
      </c>
      <c r="N7" s="2">
        <v>170.4</v>
      </c>
      <c r="O7" s="2">
        <v>189.5</v>
      </c>
      <c r="P7" s="2">
        <v>178.3</v>
      </c>
      <c r="Q7" s="2">
        <v>196.9</v>
      </c>
      <c r="R7" s="2">
        <v>183.1</v>
      </c>
      <c r="S7" s="2">
        <v>176.2</v>
      </c>
      <c r="T7" s="2">
        <v>182.1</v>
      </c>
      <c r="U7" s="2">
        <v>171.8</v>
      </c>
      <c r="V7" s="2">
        <v>181.3</v>
      </c>
      <c r="W7" s="2">
        <v>171.4</v>
      </c>
      <c r="X7" s="2">
        <v>179.8</v>
      </c>
      <c r="Y7" s="2">
        <v>163</v>
      </c>
      <c r="Z7" s="2">
        <v>168.5</v>
      </c>
      <c r="AA7" s="2">
        <v>173.7</v>
      </c>
      <c r="AB7" s="2">
        <v>173.6</v>
      </c>
      <c r="AC7" s="2">
        <v>171.1</v>
      </c>
      <c r="AD7" s="2">
        <v>176.5</v>
      </c>
      <c r="AE7" s="9">
        <v>44866</v>
      </c>
      <c r="AF7">
        <f t="shared" si="0"/>
        <v>176.54166666666666</v>
      </c>
      <c r="AG7" s="13">
        <f t="shared" si="1"/>
        <v>3.7776833356925596E-2</v>
      </c>
    </row>
    <row r="8" spans="1:33" x14ac:dyDescent="0.35">
      <c r="A8" s="5" t="s">
        <v>34</v>
      </c>
      <c r="B8" s="3">
        <v>2022</v>
      </c>
      <c r="C8" s="3" t="s">
        <v>46</v>
      </c>
      <c r="D8" s="3">
        <v>169.2</v>
      </c>
      <c r="E8" s="3">
        <v>209</v>
      </c>
      <c r="F8" s="3">
        <v>190.2</v>
      </c>
      <c r="G8" s="3">
        <v>173.6</v>
      </c>
      <c r="H8" s="3">
        <v>188.5</v>
      </c>
      <c r="I8" s="3">
        <v>158</v>
      </c>
      <c r="J8" s="3">
        <v>159.9</v>
      </c>
      <c r="K8" s="3">
        <v>170.8</v>
      </c>
      <c r="L8" s="3">
        <v>121.8</v>
      </c>
      <c r="M8" s="3">
        <v>205.2</v>
      </c>
      <c r="N8" s="3">
        <v>171</v>
      </c>
      <c r="O8" s="3">
        <v>190.3</v>
      </c>
      <c r="P8" s="3">
        <v>175.9</v>
      </c>
      <c r="Q8" s="3">
        <v>197.3</v>
      </c>
      <c r="R8" s="3">
        <v>184</v>
      </c>
      <c r="S8" s="3">
        <v>177</v>
      </c>
      <c r="T8" s="3">
        <v>183</v>
      </c>
      <c r="U8" s="3">
        <v>170.7</v>
      </c>
      <c r="V8" s="3">
        <v>182</v>
      </c>
      <c r="W8" s="3">
        <v>172.1</v>
      </c>
      <c r="X8" s="3">
        <v>181.1</v>
      </c>
      <c r="Y8" s="3">
        <v>163.4</v>
      </c>
      <c r="Z8" s="3">
        <v>168.9</v>
      </c>
      <c r="AA8" s="3">
        <v>174.1</v>
      </c>
      <c r="AB8" s="3">
        <v>175.8</v>
      </c>
      <c r="AC8" s="3">
        <v>172</v>
      </c>
      <c r="AD8" s="3">
        <v>175.7</v>
      </c>
      <c r="AE8" s="8">
        <v>44896</v>
      </c>
      <c r="AF8">
        <f t="shared" si="0"/>
        <v>175.625</v>
      </c>
      <c r="AG8" s="13">
        <f t="shared" si="1"/>
        <v>-0.51923530800093876</v>
      </c>
    </row>
    <row r="9" spans="1:33" x14ac:dyDescent="0.35">
      <c r="A9" s="4" t="s">
        <v>34</v>
      </c>
      <c r="B9" s="2">
        <v>2023</v>
      </c>
      <c r="C9" s="2" t="s">
        <v>31</v>
      </c>
      <c r="D9" s="2">
        <v>173.8</v>
      </c>
      <c r="E9" s="2">
        <v>210.7</v>
      </c>
      <c r="F9" s="2">
        <v>194.5</v>
      </c>
      <c r="G9" s="2">
        <v>174.6</v>
      </c>
      <c r="H9" s="2">
        <v>187.2</v>
      </c>
      <c r="I9" s="2">
        <v>158.30000000000001</v>
      </c>
      <c r="J9" s="2">
        <v>153.9</v>
      </c>
      <c r="K9" s="2">
        <v>170.9</v>
      </c>
      <c r="L9" s="2">
        <v>121.1</v>
      </c>
      <c r="M9" s="2">
        <v>208.4</v>
      </c>
      <c r="N9" s="2">
        <v>171.4</v>
      </c>
      <c r="O9" s="2">
        <v>191.2</v>
      </c>
      <c r="P9" s="2">
        <v>176.7</v>
      </c>
      <c r="Q9" s="2">
        <v>198.2</v>
      </c>
      <c r="R9" s="2">
        <v>184.9</v>
      </c>
      <c r="S9" s="2">
        <v>177.6</v>
      </c>
      <c r="T9" s="2">
        <v>183.8</v>
      </c>
      <c r="U9" s="2">
        <v>172.1</v>
      </c>
      <c r="V9" s="2">
        <v>182</v>
      </c>
      <c r="W9" s="2">
        <v>172.9</v>
      </c>
      <c r="X9" s="2">
        <v>182.3</v>
      </c>
      <c r="Y9" s="2">
        <v>163.6</v>
      </c>
      <c r="Z9" s="2">
        <v>169.5</v>
      </c>
      <c r="AA9" s="2">
        <v>174.3</v>
      </c>
      <c r="AB9" s="2">
        <v>178.6</v>
      </c>
      <c r="AC9" s="2">
        <v>172.8</v>
      </c>
      <c r="AD9" s="2">
        <v>176.5</v>
      </c>
      <c r="AE9" s="9">
        <v>44927</v>
      </c>
      <c r="AF9">
        <f t="shared" si="0"/>
        <v>176.33333333333334</v>
      </c>
      <c r="AG9" s="13">
        <f t="shared" si="1"/>
        <v>0.40332147093713466</v>
      </c>
    </row>
    <row r="10" spans="1:33" x14ac:dyDescent="0.35">
      <c r="A10" s="5" t="s">
        <v>34</v>
      </c>
      <c r="B10" s="3">
        <v>2023</v>
      </c>
      <c r="C10" s="3" t="s">
        <v>35</v>
      </c>
      <c r="D10" s="3">
        <v>174.4</v>
      </c>
      <c r="E10" s="3">
        <v>207.7</v>
      </c>
      <c r="F10" s="3">
        <v>175.2</v>
      </c>
      <c r="G10" s="3">
        <v>177.3</v>
      </c>
      <c r="H10" s="3">
        <v>179.3</v>
      </c>
      <c r="I10" s="3">
        <v>169.5</v>
      </c>
      <c r="J10" s="3">
        <v>152.69999999999999</v>
      </c>
      <c r="K10" s="3">
        <v>171</v>
      </c>
      <c r="L10" s="3">
        <v>120</v>
      </c>
      <c r="M10" s="3">
        <v>209.7</v>
      </c>
      <c r="N10" s="3">
        <v>172.3</v>
      </c>
      <c r="O10" s="3">
        <v>193</v>
      </c>
      <c r="P10" s="3">
        <v>177</v>
      </c>
      <c r="Q10" s="3">
        <v>199.5</v>
      </c>
      <c r="R10" s="3">
        <v>186.2</v>
      </c>
      <c r="S10" s="3">
        <v>178.7</v>
      </c>
      <c r="T10" s="3">
        <v>185.1</v>
      </c>
      <c r="U10" s="3">
        <v>173.5</v>
      </c>
      <c r="V10" s="3">
        <v>182.1</v>
      </c>
      <c r="W10" s="3">
        <v>174.2</v>
      </c>
      <c r="X10" s="3">
        <v>184.4</v>
      </c>
      <c r="Y10" s="3">
        <v>164.2</v>
      </c>
      <c r="Z10" s="3">
        <v>170.3</v>
      </c>
      <c r="AA10" s="3">
        <v>175</v>
      </c>
      <c r="AB10" s="3">
        <v>181</v>
      </c>
      <c r="AC10" s="3">
        <v>174.1</v>
      </c>
      <c r="AD10" s="3">
        <v>177.2</v>
      </c>
      <c r="AE10" s="8">
        <v>44958</v>
      </c>
      <c r="AF10">
        <f t="shared" si="0"/>
        <v>175.17499999999998</v>
      </c>
      <c r="AG10" s="13">
        <f t="shared" si="1"/>
        <v>-0.65689981096409811</v>
      </c>
    </row>
    <row r="11" spans="1:33" x14ac:dyDescent="0.35">
      <c r="A11" s="4" t="s">
        <v>34</v>
      </c>
      <c r="B11" s="2">
        <v>2023</v>
      </c>
      <c r="C11" s="2" t="s">
        <v>36</v>
      </c>
      <c r="D11" s="2">
        <v>174.4</v>
      </c>
      <c r="E11" s="2">
        <v>207.7</v>
      </c>
      <c r="F11" s="2">
        <v>175.2</v>
      </c>
      <c r="G11" s="2">
        <v>177.3</v>
      </c>
      <c r="H11" s="2">
        <v>179.2</v>
      </c>
      <c r="I11" s="2">
        <v>169.5</v>
      </c>
      <c r="J11" s="2">
        <v>152.80000000000001</v>
      </c>
      <c r="K11" s="2">
        <v>171.1</v>
      </c>
      <c r="L11" s="2">
        <v>120</v>
      </c>
      <c r="M11" s="2">
        <v>209.7</v>
      </c>
      <c r="N11" s="2">
        <v>172.3</v>
      </c>
      <c r="O11" s="2">
        <v>193</v>
      </c>
      <c r="P11" s="2">
        <v>177</v>
      </c>
      <c r="Q11" s="2">
        <v>199.5</v>
      </c>
      <c r="R11" s="2">
        <v>186.1</v>
      </c>
      <c r="S11" s="2">
        <v>178.7</v>
      </c>
      <c r="T11" s="2">
        <v>185.1</v>
      </c>
      <c r="U11" s="2">
        <v>173.5</v>
      </c>
      <c r="V11" s="2">
        <v>181.9</v>
      </c>
      <c r="W11" s="2">
        <v>174.2</v>
      </c>
      <c r="X11" s="2">
        <v>184.4</v>
      </c>
      <c r="Y11" s="2">
        <v>164.2</v>
      </c>
      <c r="Z11" s="2">
        <v>170.3</v>
      </c>
      <c r="AA11" s="2">
        <v>175</v>
      </c>
      <c r="AB11" s="2">
        <v>181</v>
      </c>
      <c r="AC11" s="2">
        <v>174.1</v>
      </c>
      <c r="AD11" s="2">
        <v>177.2</v>
      </c>
      <c r="AE11" s="9">
        <v>44986</v>
      </c>
      <c r="AF11">
        <f t="shared" si="0"/>
        <v>175.18333333333331</v>
      </c>
      <c r="AG11" s="13">
        <f t="shared" si="1"/>
        <v>4.7571476142861452E-3</v>
      </c>
    </row>
    <row r="12" spans="1:33" x14ac:dyDescent="0.35">
      <c r="A12" s="5" t="s">
        <v>34</v>
      </c>
      <c r="B12" s="3">
        <v>2023</v>
      </c>
      <c r="C12" s="3" t="s">
        <v>37</v>
      </c>
      <c r="D12" s="3">
        <v>173.8</v>
      </c>
      <c r="E12" s="3">
        <v>209.3</v>
      </c>
      <c r="F12" s="3">
        <v>169.6</v>
      </c>
      <c r="G12" s="3">
        <v>178.4</v>
      </c>
      <c r="H12" s="3">
        <v>174.9</v>
      </c>
      <c r="I12" s="3">
        <v>176.3</v>
      </c>
      <c r="J12" s="3">
        <v>155.4</v>
      </c>
      <c r="K12" s="3">
        <v>173.4</v>
      </c>
      <c r="L12" s="3">
        <v>121.3</v>
      </c>
      <c r="M12" s="3">
        <v>212.9</v>
      </c>
      <c r="N12" s="3">
        <v>172.9</v>
      </c>
      <c r="O12" s="3">
        <v>193.5</v>
      </c>
      <c r="P12" s="3">
        <v>177.9</v>
      </c>
      <c r="Q12" s="3">
        <v>200.6</v>
      </c>
      <c r="R12" s="3">
        <v>186.9</v>
      </c>
      <c r="S12" s="3">
        <v>179.2</v>
      </c>
      <c r="T12" s="3">
        <v>185.7</v>
      </c>
      <c r="U12" s="3">
        <v>175.2</v>
      </c>
      <c r="V12" s="3">
        <v>181.7</v>
      </c>
      <c r="W12" s="3">
        <v>174.6</v>
      </c>
      <c r="X12" s="3">
        <v>185</v>
      </c>
      <c r="Y12" s="3">
        <v>164.5</v>
      </c>
      <c r="Z12" s="3">
        <v>170.7</v>
      </c>
      <c r="AA12" s="3">
        <v>176.4</v>
      </c>
      <c r="AB12" s="3">
        <v>184</v>
      </c>
      <c r="AC12" s="3">
        <v>175</v>
      </c>
      <c r="AD12" s="3">
        <v>178.1</v>
      </c>
      <c r="AE12" s="8">
        <v>45017</v>
      </c>
      <c r="AF12">
        <f t="shared" si="0"/>
        <v>175.97500000000002</v>
      </c>
      <c r="AG12" s="13">
        <f t="shared" si="1"/>
        <v>0.4519075254495562</v>
      </c>
    </row>
    <row r="13" spans="1:33" x14ac:dyDescent="0.35">
      <c r="A13" s="4" t="s">
        <v>34</v>
      </c>
      <c r="B13" s="2">
        <v>2023</v>
      </c>
      <c r="C13" s="2" t="s">
        <v>38</v>
      </c>
      <c r="D13" s="2">
        <v>173.7</v>
      </c>
      <c r="E13" s="2">
        <v>214.3</v>
      </c>
      <c r="F13" s="2">
        <v>173.2</v>
      </c>
      <c r="G13" s="2">
        <v>179.5</v>
      </c>
      <c r="H13" s="2">
        <v>170</v>
      </c>
      <c r="I13" s="2">
        <v>172.2</v>
      </c>
      <c r="J13" s="2">
        <v>161</v>
      </c>
      <c r="K13" s="2">
        <v>175.6</v>
      </c>
      <c r="L13" s="2">
        <v>122.7</v>
      </c>
      <c r="M13" s="2">
        <v>218</v>
      </c>
      <c r="N13" s="2">
        <v>173.4</v>
      </c>
      <c r="O13" s="2">
        <v>194.2</v>
      </c>
      <c r="P13" s="2">
        <v>179.1</v>
      </c>
      <c r="Q13" s="2">
        <v>201</v>
      </c>
      <c r="R13" s="2">
        <v>187.3</v>
      </c>
      <c r="S13" s="2">
        <v>179.7</v>
      </c>
      <c r="T13" s="2">
        <v>186.2</v>
      </c>
      <c r="U13" s="2">
        <v>175.6</v>
      </c>
      <c r="V13" s="2">
        <v>182.8</v>
      </c>
      <c r="W13" s="2">
        <v>175.2</v>
      </c>
      <c r="X13" s="2">
        <v>185.7</v>
      </c>
      <c r="Y13" s="2">
        <v>164.8</v>
      </c>
      <c r="Z13" s="2">
        <v>171.2</v>
      </c>
      <c r="AA13" s="2">
        <v>177.1</v>
      </c>
      <c r="AB13" s="2">
        <v>185.2</v>
      </c>
      <c r="AC13" s="2">
        <v>175.7</v>
      </c>
      <c r="AD13" s="2">
        <v>179.1</v>
      </c>
      <c r="AE13" s="9">
        <v>45047</v>
      </c>
      <c r="AF13">
        <f t="shared" si="0"/>
        <v>177.31666666666669</v>
      </c>
      <c r="AG13" s="13">
        <f t="shared" si="1"/>
        <v>0.76241890420040825</v>
      </c>
    </row>
    <row r="15" spans="1:33" x14ac:dyDescent="0.35">
      <c r="A15" t="s">
        <v>66</v>
      </c>
      <c r="B15" s="21" t="s">
        <v>68</v>
      </c>
      <c r="C15" s="21" t="s">
        <v>69</v>
      </c>
      <c r="D15" t="s">
        <v>67</v>
      </c>
      <c r="J15" s="25" t="s">
        <v>65</v>
      </c>
      <c r="K15" s="26">
        <f>MAX(AG2:AG13)</f>
        <v>0.76241890420040825</v>
      </c>
      <c r="L15" s="27" t="str">
        <f>INDEX(C2:C13,MATCH(K15,AG2:AG13,0))</f>
        <v>May</v>
      </c>
    </row>
    <row r="16" spans="1:33" x14ac:dyDescent="0.35">
      <c r="A16" t="str">
        <f>D1</f>
        <v>Cereals and products</v>
      </c>
      <c r="B16">
        <f>D2</f>
        <v>155</v>
      </c>
      <c r="C16">
        <f>D13</f>
        <v>173.7</v>
      </c>
      <c r="D16">
        <f>C16-B16</f>
        <v>18.699999999999989</v>
      </c>
      <c r="J16" s="25" t="s">
        <v>64</v>
      </c>
      <c r="K16" s="26">
        <f>MIN(AG3:AG13)</f>
        <v>-0.65689981096409811</v>
      </c>
      <c r="L16" s="27" t="str">
        <f>INDEX(C2:C13,MATCH(K16,AG2:AG13,0))</f>
        <v>February</v>
      </c>
    </row>
    <row r="17" spans="1:4" x14ac:dyDescent="0.35">
      <c r="A17" t="str">
        <f>E1</f>
        <v>Meat and fish</v>
      </c>
      <c r="B17">
        <f>E2</f>
        <v>219.4</v>
      </c>
      <c r="C17">
        <f>E13</f>
        <v>214.3</v>
      </c>
      <c r="D17">
        <f t="shared" ref="D17:D27" si="2">C17-B17</f>
        <v>-5.0999999999999943</v>
      </c>
    </row>
    <row r="18" spans="1:4" x14ac:dyDescent="0.35">
      <c r="A18" t="str">
        <f>F1</f>
        <v>Egg</v>
      </c>
      <c r="B18">
        <f>F2</f>
        <v>170.8</v>
      </c>
      <c r="C18">
        <f>F13</f>
        <v>173.2</v>
      </c>
      <c r="D18">
        <f t="shared" si="2"/>
        <v>2.3999999999999773</v>
      </c>
    </row>
    <row r="19" spans="1:4" x14ac:dyDescent="0.35">
      <c r="A19" t="str">
        <f>G1</f>
        <v>Milk and products</v>
      </c>
      <c r="B19">
        <f>G2</f>
        <v>165.8</v>
      </c>
      <c r="C19">
        <f>G13</f>
        <v>179.5</v>
      </c>
      <c r="D19">
        <f t="shared" si="2"/>
        <v>13.699999999999989</v>
      </c>
    </row>
    <row r="20" spans="1:4" x14ac:dyDescent="0.35">
      <c r="A20" t="str">
        <f>H1</f>
        <v>Oils and fats</v>
      </c>
      <c r="B20">
        <f>H2</f>
        <v>200.9</v>
      </c>
      <c r="C20">
        <f>H13</f>
        <v>170</v>
      </c>
      <c r="D20">
        <f t="shared" si="2"/>
        <v>-30.900000000000006</v>
      </c>
    </row>
    <row r="21" spans="1:4" x14ac:dyDescent="0.35">
      <c r="A21" t="str">
        <f>I1</f>
        <v>Fruits</v>
      </c>
      <c r="B21">
        <f>I2</f>
        <v>169.7</v>
      </c>
      <c r="C21">
        <f>I13</f>
        <v>172.2</v>
      </c>
      <c r="D21">
        <f t="shared" si="2"/>
        <v>2.5</v>
      </c>
    </row>
    <row r="22" spans="1:4" x14ac:dyDescent="0.35">
      <c r="A22" t="str">
        <f>J1</f>
        <v>Vegetables</v>
      </c>
      <c r="B22">
        <f>J2</f>
        <v>182.3</v>
      </c>
      <c r="C22">
        <f>J13</f>
        <v>161</v>
      </c>
      <c r="D22">
        <f t="shared" si="2"/>
        <v>-21.300000000000011</v>
      </c>
    </row>
    <row r="23" spans="1:4" x14ac:dyDescent="0.35">
      <c r="A23" t="str">
        <f>K1</f>
        <v>Pulses and products</v>
      </c>
      <c r="B23">
        <f>K2</f>
        <v>164.3</v>
      </c>
      <c r="C23">
        <f>K13</f>
        <v>175.6</v>
      </c>
      <c r="D23">
        <f t="shared" si="2"/>
        <v>11.299999999999983</v>
      </c>
    </row>
    <row r="24" spans="1:4" x14ac:dyDescent="0.35">
      <c r="A24" t="str">
        <f>L1</f>
        <v>Sugar and Confectionery</v>
      </c>
      <c r="B24">
        <f>L2</f>
        <v>119.9</v>
      </c>
      <c r="C24">
        <f>L13</f>
        <v>122.7</v>
      </c>
      <c r="D24">
        <f t="shared" si="2"/>
        <v>2.7999999999999972</v>
      </c>
    </row>
    <row r="25" spans="1:4" x14ac:dyDescent="0.35">
      <c r="A25" t="str">
        <f>M1</f>
        <v>Spices</v>
      </c>
      <c r="B25">
        <f>M2</f>
        <v>187.1</v>
      </c>
      <c r="C25">
        <f>M13</f>
        <v>218</v>
      </c>
      <c r="D25">
        <f t="shared" si="2"/>
        <v>30.900000000000006</v>
      </c>
    </row>
    <row r="26" spans="1:4" x14ac:dyDescent="0.35">
      <c r="A26" t="str">
        <f>N1</f>
        <v>Non-alcoholic beverages</v>
      </c>
      <c r="B26">
        <f>N2</f>
        <v>167.9</v>
      </c>
      <c r="C26">
        <f>N13</f>
        <v>173.4</v>
      </c>
      <c r="D26">
        <f t="shared" si="2"/>
        <v>5.5</v>
      </c>
    </row>
    <row r="27" spans="1:4" x14ac:dyDescent="0.35">
      <c r="A27" t="str">
        <f>O1</f>
        <v>Prepared meals, snacks, sweets etc.</v>
      </c>
      <c r="B27">
        <f>O2</f>
        <v>183.9</v>
      </c>
      <c r="C27">
        <f>O13</f>
        <v>194.2</v>
      </c>
      <c r="D27">
        <f t="shared" si="2"/>
        <v>10.299999999999983</v>
      </c>
    </row>
    <row r="28" spans="1:4" x14ac:dyDescent="0.35">
      <c r="A28" t="str">
        <f>A25</f>
        <v>Spices</v>
      </c>
      <c r="D28">
        <f>MAX(D16:D27)</f>
        <v>30.900000000000006</v>
      </c>
    </row>
    <row r="30" spans="1:4" x14ac:dyDescent="0.35">
      <c r="A30" t="s">
        <v>70</v>
      </c>
    </row>
  </sheetData>
  <conditionalFormatting sqref="AG3:AG13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1EB0-00A1-412B-AC3C-02B00609BC53}">
  <dimension ref="A1:AK45"/>
  <sheetViews>
    <sheetView topLeftCell="V34" zoomScale="80" zoomScaleNormal="80" workbookViewId="0">
      <selection activeCell="AG43" sqref="AG43"/>
    </sheetView>
  </sheetViews>
  <sheetFormatPr defaultRowHeight="14.5" x14ac:dyDescent="0.35"/>
  <cols>
    <col min="2" max="2" width="9.54296875" bestFit="1" customWidth="1"/>
    <col min="3" max="3" width="18.7265625" bestFit="1" customWidth="1"/>
    <col min="6" max="6" width="10.54296875" customWidth="1"/>
    <col min="7" max="7" width="15.7265625" customWidth="1"/>
    <col min="8" max="8" width="16.7265625" customWidth="1"/>
    <col min="9" max="9" width="10.08984375" customWidth="1"/>
    <col min="14" max="14" width="7.6328125" customWidth="1"/>
    <col min="15" max="15" width="9.26953125" customWidth="1"/>
    <col min="20" max="20" width="7.81640625" bestFit="1" customWidth="1"/>
    <col min="21" max="21" width="12.36328125" bestFit="1" customWidth="1"/>
    <col min="22" max="22" width="26.7265625" bestFit="1" customWidth="1"/>
    <col min="28" max="28" width="12.7265625" bestFit="1" customWidth="1"/>
    <col min="29" max="29" width="12.453125" bestFit="1" customWidth="1"/>
    <col min="30" max="30" width="9.6328125" customWidth="1"/>
    <col min="32" max="32" width="12.90625" bestFit="1" customWidth="1"/>
    <col min="33" max="33" width="15.1796875" customWidth="1"/>
    <col min="34" max="34" width="16.26953125" customWidth="1"/>
    <col min="35" max="35" width="16.36328125" bestFit="1" customWidth="1"/>
    <col min="36" max="36" width="11.81640625" bestFit="1" customWidth="1"/>
    <col min="37" max="37" width="15.90625" bestFit="1" customWidth="1"/>
  </cols>
  <sheetData>
    <row r="1" spans="1:37" ht="20" customHeight="1" x14ac:dyDescent="0.35">
      <c r="A1" s="40"/>
      <c r="B1" s="45" t="s">
        <v>115</v>
      </c>
      <c r="C1" s="46"/>
      <c r="D1" s="46"/>
      <c r="E1" s="46"/>
      <c r="F1" s="46"/>
      <c r="G1" s="46"/>
      <c r="H1" s="46"/>
      <c r="I1" s="46"/>
      <c r="J1" s="46"/>
    </row>
    <row r="2" spans="1:37" ht="18.5" x14ac:dyDescent="0.45">
      <c r="A2" s="43" t="s">
        <v>113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4" spans="1:37" x14ac:dyDescent="0.35">
      <c r="A4" s="6" t="s">
        <v>0</v>
      </c>
      <c r="B4" s="10" t="s">
        <v>50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4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49</v>
      </c>
      <c r="AF4" s="18" t="s">
        <v>71</v>
      </c>
      <c r="AG4" s="18" t="s">
        <v>72</v>
      </c>
      <c r="AH4" s="18" t="s">
        <v>73</v>
      </c>
      <c r="AI4" s="18" t="s">
        <v>74</v>
      </c>
      <c r="AJ4" s="18" t="s">
        <v>75</v>
      </c>
      <c r="AK4" s="18" t="s">
        <v>76</v>
      </c>
    </row>
    <row r="5" spans="1:37" x14ac:dyDescent="0.35">
      <c r="A5" s="5" t="s">
        <v>34</v>
      </c>
      <c r="B5" s="8">
        <v>43525</v>
      </c>
      <c r="C5" s="3">
        <v>137.80000000000001</v>
      </c>
      <c r="D5" s="3">
        <v>153</v>
      </c>
      <c r="E5" s="3">
        <v>140.30000000000001</v>
      </c>
      <c r="F5" s="3">
        <v>142.30000000000001</v>
      </c>
      <c r="G5" s="3">
        <v>122</v>
      </c>
      <c r="H5" s="3">
        <v>137.6</v>
      </c>
      <c r="I5" s="3">
        <v>132.6</v>
      </c>
      <c r="J5" s="3">
        <v>121.8</v>
      </c>
      <c r="K5" s="3">
        <v>109</v>
      </c>
      <c r="L5" s="3">
        <v>139.5</v>
      </c>
      <c r="M5" s="3">
        <v>133.69999999999999</v>
      </c>
      <c r="N5" s="15">
        <v>155.19999999999999</v>
      </c>
      <c r="O5" s="3">
        <v>138.1</v>
      </c>
      <c r="P5" s="3">
        <v>163.5</v>
      </c>
      <c r="Q5" s="3">
        <v>147.9</v>
      </c>
      <c r="R5" s="3">
        <v>139.9</v>
      </c>
      <c r="S5" s="3">
        <v>146.69999999999999</v>
      </c>
      <c r="T5" s="3">
        <v>149</v>
      </c>
      <c r="U5" s="3">
        <v>139.69999999999999</v>
      </c>
      <c r="V5" s="3">
        <v>143.80000000000001</v>
      </c>
      <c r="W5" s="3">
        <v>146.19999999999999</v>
      </c>
      <c r="X5" s="3">
        <v>124.6</v>
      </c>
      <c r="Y5" s="3">
        <v>137.69999999999999</v>
      </c>
      <c r="Z5" s="3">
        <v>150.30000000000001</v>
      </c>
      <c r="AA5" s="3">
        <v>133.4</v>
      </c>
      <c r="AB5" s="3">
        <v>137.69999999999999</v>
      </c>
      <c r="AC5" s="3">
        <v>140.4</v>
      </c>
      <c r="AD5" s="3">
        <v>3</v>
      </c>
      <c r="AF5" s="11">
        <f>AVERAGE(C5:N5)</f>
        <v>135.4</v>
      </c>
      <c r="AI5" s="11">
        <f>AVERAGE(T5:V5)</f>
        <v>144.16666666666666</v>
      </c>
    </row>
    <row r="6" spans="1:37" x14ac:dyDescent="0.35">
      <c r="A6" s="4" t="s">
        <v>34</v>
      </c>
      <c r="B6" s="9">
        <v>43586</v>
      </c>
      <c r="C6" s="2">
        <v>138.30000000000001</v>
      </c>
      <c r="D6" s="2">
        <v>158.5</v>
      </c>
      <c r="E6" s="2">
        <v>136</v>
      </c>
      <c r="F6" s="2">
        <v>142.5</v>
      </c>
      <c r="G6" s="2">
        <v>122</v>
      </c>
      <c r="H6" s="2">
        <v>146.5</v>
      </c>
      <c r="I6" s="2">
        <v>143</v>
      </c>
      <c r="J6" s="2">
        <v>124.9</v>
      </c>
      <c r="K6" s="2">
        <v>109.9</v>
      </c>
      <c r="L6" s="2">
        <v>139.9</v>
      </c>
      <c r="M6" s="2">
        <v>134</v>
      </c>
      <c r="N6" s="16">
        <v>155.5</v>
      </c>
      <c r="O6" s="2">
        <v>140.9</v>
      </c>
      <c r="P6" s="2">
        <v>164.1</v>
      </c>
      <c r="Q6" s="2">
        <v>148.4</v>
      </c>
      <c r="R6" s="2">
        <v>140.4</v>
      </c>
      <c r="S6" s="2">
        <v>147.30000000000001</v>
      </c>
      <c r="T6" s="2">
        <v>150.1</v>
      </c>
      <c r="U6" s="2">
        <v>140.30000000000001</v>
      </c>
      <c r="V6" s="2">
        <v>143.69999999999999</v>
      </c>
      <c r="W6" s="2">
        <v>146.9</v>
      </c>
      <c r="X6" s="2">
        <v>124.9</v>
      </c>
      <c r="Y6" s="2">
        <v>139.19999999999999</v>
      </c>
      <c r="Z6" s="2">
        <v>151.6</v>
      </c>
      <c r="AA6" s="2">
        <v>133.4</v>
      </c>
      <c r="AB6" s="2">
        <v>138.19999999999999</v>
      </c>
      <c r="AC6" s="2">
        <v>142</v>
      </c>
      <c r="AD6" s="2">
        <v>5</v>
      </c>
      <c r="AF6" s="11">
        <f t="shared" ref="AF6:AF28" si="0">AVERAGE(C6:N6)</f>
        <v>137.58333333333334</v>
      </c>
      <c r="AI6" s="11">
        <f t="shared" ref="AI6:AI28" si="1">AVERAGE(T6:V6)</f>
        <v>144.69999999999999</v>
      </c>
    </row>
    <row r="7" spans="1:37" x14ac:dyDescent="0.35">
      <c r="A7" s="5" t="s">
        <v>34</v>
      </c>
      <c r="B7" s="8">
        <v>43617</v>
      </c>
      <c r="C7" s="3">
        <v>138.69999999999999</v>
      </c>
      <c r="D7" s="3">
        <v>162.1</v>
      </c>
      <c r="E7" s="3">
        <v>137.80000000000001</v>
      </c>
      <c r="F7" s="3">
        <v>143.30000000000001</v>
      </c>
      <c r="G7" s="3">
        <v>122.2</v>
      </c>
      <c r="H7" s="3">
        <v>146.80000000000001</v>
      </c>
      <c r="I7" s="3">
        <v>150.5</v>
      </c>
      <c r="J7" s="3">
        <v>128.30000000000001</v>
      </c>
      <c r="K7" s="3">
        <v>111</v>
      </c>
      <c r="L7" s="3">
        <v>140.6</v>
      </c>
      <c r="M7" s="3">
        <v>134.19999999999999</v>
      </c>
      <c r="N7" s="15">
        <v>155.9</v>
      </c>
      <c r="O7" s="3">
        <v>142.69999999999999</v>
      </c>
      <c r="P7" s="3">
        <v>164.9</v>
      </c>
      <c r="Q7" s="3">
        <v>148.6</v>
      </c>
      <c r="R7" s="3">
        <v>140.4</v>
      </c>
      <c r="S7" s="3">
        <v>147.4</v>
      </c>
      <c r="T7" s="3">
        <v>149.4</v>
      </c>
      <c r="U7" s="3">
        <v>141.19999999999999</v>
      </c>
      <c r="V7" s="3">
        <v>143.80000000000001</v>
      </c>
      <c r="W7" s="3">
        <v>147.4</v>
      </c>
      <c r="X7" s="3">
        <v>124.6</v>
      </c>
      <c r="Y7" s="3">
        <v>139.6</v>
      </c>
      <c r="Z7" s="3">
        <v>152.5</v>
      </c>
      <c r="AA7" s="3">
        <v>134.30000000000001</v>
      </c>
      <c r="AB7" s="3">
        <v>138.6</v>
      </c>
      <c r="AC7" s="3">
        <v>142.9</v>
      </c>
      <c r="AD7" s="3">
        <v>6</v>
      </c>
      <c r="AF7" s="11">
        <f t="shared" si="0"/>
        <v>139.28333333333333</v>
      </c>
      <c r="AI7" s="11">
        <f t="shared" si="1"/>
        <v>144.80000000000001</v>
      </c>
    </row>
    <row r="8" spans="1:37" x14ac:dyDescent="0.35">
      <c r="A8" s="4" t="s">
        <v>34</v>
      </c>
      <c r="B8" s="9">
        <v>43647</v>
      </c>
      <c r="C8" s="2">
        <v>139.30000000000001</v>
      </c>
      <c r="D8" s="2">
        <v>162.69999999999999</v>
      </c>
      <c r="E8" s="2">
        <v>140</v>
      </c>
      <c r="F8" s="2">
        <v>144</v>
      </c>
      <c r="G8" s="2">
        <v>122.5</v>
      </c>
      <c r="H8" s="2">
        <v>150.30000000000001</v>
      </c>
      <c r="I8" s="2">
        <v>160.30000000000001</v>
      </c>
      <c r="J8" s="2">
        <v>130</v>
      </c>
      <c r="K8" s="2">
        <v>111.1</v>
      </c>
      <c r="L8" s="2">
        <v>141.69999999999999</v>
      </c>
      <c r="M8" s="2">
        <v>134.69999999999999</v>
      </c>
      <c r="N8" s="16">
        <v>156.19999999999999</v>
      </c>
      <c r="O8" s="2">
        <v>144.69999999999999</v>
      </c>
      <c r="P8" s="2">
        <v>165.2</v>
      </c>
      <c r="Q8" s="2">
        <v>148.9</v>
      </c>
      <c r="R8" s="2">
        <v>140.5</v>
      </c>
      <c r="S8" s="2">
        <v>147.6</v>
      </c>
      <c r="T8" s="2">
        <v>150.6</v>
      </c>
      <c r="U8" s="2">
        <v>139.30000000000001</v>
      </c>
      <c r="V8" s="2">
        <v>144.19999999999999</v>
      </c>
      <c r="W8" s="2">
        <v>147.9</v>
      </c>
      <c r="X8" s="2">
        <v>125.6</v>
      </c>
      <c r="Y8" s="2">
        <v>140.5</v>
      </c>
      <c r="Z8" s="2">
        <v>154</v>
      </c>
      <c r="AA8" s="2">
        <v>135.69999999999999</v>
      </c>
      <c r="AB8" s="2">
        <v>139.5</v>
      </c>
      <c r="AC8" s="2">
        <v>144.19999999999999</v>
      </c>
      <c r="AD8" s="2">
        <v>7</v>
      </c>
      <c r="AF8" s="11">
        <f t="shared" si="0"/>
        <v>141.06666666666666</v>
      </c>
      <c r="AI8" s="11">
        <f t="shared" si="1"/>
        <v>144.69999999999999</v>
      </c>
    </row>
    <row r="9" spans="1:37" x14ac:dyDescent="0.35">
      <c r="A9" s="5" t="s">
        <v>34</v>
      </c>
      <c r="B9" s="8">
        <v>43678</v>
      </c>
      <c r="C9" s="3">
        <v>140.1</v>
      </c>
      <c r="D9" s="3">
        <v>160.6</v>
      </c>
      <c r="E9" s="3">
        <v>138.5</v>
      </c>
      <c r="F9" s="3">
        <v>144.69999999999999</v>
      </c>
      <c r="G9" s="3">
        <v>122.9</v>
      </c>
      <c r="H9" s="3">
        <v>149.4</v>
      </c>
      <c r="I9" s="3">
        <v>167.4</v>
      </c>
      <c r="J9" s="3">
        <v>130.9</v>
      </c>
      <c r="K9" s="3">
        <v>112</v>
      </c>
      <c r="L9" s="3">
        <v>142.6</v>
      </c>
      <c r="M9" s="3">
        <v>134.9</v>
      </c>
      <c r="N9" s="15">
        <v>156.6</v>
      </c>
      <c r="O9" s="3">
        <v>145.9</v>
      </c>
      <c r="P9" s="3">
        <v>165.8</v>
      </c>
      <c r="Q9" s="3">
        <v>149.1</v>
      </c>
      <c r="R9" s="3">
        <v>140.6</v>
      </c>
      <c r="S9" s="3">
        <v>147.9</v>
      </c>
      <c r="T9" s="3">
        <v>151.6</v>
      </c>
      <c r="U9" s="3">
        <v>138.5</v>
      </c>
      <c r="V9" s="3">
        <v>144.5</v>
      </c>
      <c r="W9" s="3">
        <v>148.5</v>
      </c>
      <c r="X9" s="3">
        <v>125.8</v>
      </c>
      <c r="Y9" s="3">
        <v>140.9</v>
      </c>
      <c r="Z9" s="3">
        <v>154.9</v>
      </c>
      <c r="AA9" s="3">
        <v>138.4</v>
      </c>
      <c r="AB9" s="3">
        <v>140.19999999999999</v>
      </c>
      <c r="AC9" s="3">
        <v>145</v>
      </c>
      <c r="AD9" s="3">
        <v>8</v>
      </c>
      <c r="AF9" s="11">
        <f t="shared" si="0"/>
        <v>141.71666666666667</v>
      </c>
      <c r="AI9" s="11">
        <f t="shared" si="1"/>
        <v>144.86666666666667</v>
      </c>
    </row>
    <row r="10" spans="1:37" x14ac:dyDescent="0.35">
      <c r="A10" s="4" t="s">
        <v>34</v>
      </c>
      <c r="B10" s="9">
        <v>43709</v>
      </c>
      <c r="C10" s="2">
        <v>140.9</v>
      </c>
      <c r="D10" s="2">
        <v>160.80000000000001</v>
      </c>
      <c r="E10" s="2">
        <v>139.6</v>
      </c>
      <c r="F10" s="2">
        <v>145.4</v>
      </c>
      <c r="G10" s="2">
        <v>123.5</v>
      </c>
      <c r="H10" s="2">
        <v>146.6</v>
      </c>
      <c r="I10" s="2">
        <v>173.2</v>
      </c>
      <c r="J10" s="2">
        <v>131.6</v>
      </c>
      <c r="K10" s="2">
        <v>113.2</v>
      </c>
      <c r="L10" s="2">
        <v>144.1</v>
      </c>
      <c r="M10" s="2">
        <v>135</v>
      </c>
      <c r="N10" s="16">
        <v>156.80000000000001</v>
      </c>
      <c r="O10" s="2">
        <v>147</v>
      </c>
      <c r="P10" s="2">
        <v>166.5</v>
      </c>
      <c r="Q10" s="2">
        <v>149.19999999999999</v>
      </c>
      <c r="R10" s="2">
        <v>140.6</v>
      </c>
      <c r="S10" s="2">
        <v>147.9</v>
      </c>
      <c r="T10" s="2">
        <v>152.19999999999999</v>
      </c>
      <c r="U10" s="2">
        <v>139.19999999999999</v>
      </c>
      <c r="V10" s="2">
        <v>144.6</v>
      </c>
      <c r="W10" s="2">
        <v>149</v>
      </c>
      <c r="X10" s="2">
        <v>126.1</v>
      </c>
      <c r="Y10" s="2">
        <v>141.30000000000001</v>
      </c>
      <c r="Z10" s="2">
        <v>155.19999999999999</v>
      </c>
      <c r="AA10" s="2">
        <v>139.69999999999999</v>
      </c>
      <c r="AB10" s="2">
        <v>140.69999999999999</v>
      </c>
      <c r="AC10" s="2">
        <v>145.80000000000001</v>
      </c>
      <c r="AD10" s="2">
        <v>9</v>
      </c>
      <c r="AF10" s="11">
        <f t="shared" si="0"/>
        <v>142.55833333333331</v>
      </c>
      <c r="AI10" s="11">
        <f t="shared" si="1"/>
        <v>145.33333333333334</v>
      </c>
    </row>
    <row r="11" spans="1:37" x14ac:dyDescent="0.35">
      <c r="A11" s="5" t="s">
        <v>34</v>
      </c>
      <c r="B11" s="8">
        <v>43739</v>
      </c>
      <c r="C11" s="3">
        <v>141.80000000000001</v>
      </c>
      <c r="D11" s="3">
        <v>161</v>
      </c>
      <c r="E11" s="3">
        <v>142.6</v>
      </c>
      <c r="F11" s="3">
        <v>146.19999999999999</v>
      </c>
      <c r="G11" s="3">
        <v>123.9</v>
      </c>
      <c r="H11" s="3">
        <v>148</v>
      </c>
      <c r="I11" s="3">
        <v>188.4</v>
      </c>
      <c r="J11" s="3">
        <v>132.5</v>
      </c>
      <c r="K11" s="3">
        <v>114</v>
      </c>
      <c r="L11" s="3">
        <v>145.4</v>
      </c>
      <c r="M11" s="3">
        <v>135.1</v>
      </c>
      <c r="N11" s="15">
        <v>157.1</v>
      </c>
      <c r="O11" s="3">
        <v>149.6</v>
      </c>
      <c r="P11" s="3">
        <v>167.1</v>
      </c>
      <c r="Q11" s="3">
        <v>149.4</v>
      </c>
      <c r="R11" s="3">
        <v>140.80000000000001</v>
      </c>
      <c r="S11" s="3">
        <v>148.19999999999999</v>
      </c>
      <c r="T11" s="3">
        <v>153</v>
      </c>
      <c r="U11" s="3">
        <v>140.6</v>
      </c>
      <c r="V11" s="3">
        <v>145</v>
      </c>
      <c r="W11" s="3">
        <v>149.4</v>
      </c>
      <c r="X11" s="3">
        <v>126.3</v>
      </c>
      <c r="Y11" s="3">
        <v>141.69999999999999</v>
      </c>
      <c r="Z11" s="3">
        <v>155.4</v>
      </c>
      <c r="AA11" s="3">
        <v>140</v>
      </c>
      <c r="AB11" s="3">
        <v>141</v>
      </c>
      <c r="AC11" s="3">
        <v>147.19999999999999</v>
      </c>
      <c r="AD11" s="3">
        <v>10</v>
      </c>
      <c r="AF11" s="11">
        <f t="shared" si="0"/>
        <v>144.66666666666666</v>
      </c>
      <c r="AI11" s="11">
        <f t="shared" si="1"/>
        <v>146.20000000000002</v>
      </c>
    </row>
    <row r="12" spans="1:37" x14ac:dyDescent="0.35">
      <c r="A12" s="4" t="s">
        <v>34</v>
      </c>
      <c r="B12" s="9">
        <v>43770</v>
      </c>
      <c r="C12" s="2">
        <v>142.5</v>
      </c>
      <c r="D12" s="2">
        <v>163.19999999999999</v>
      </c>
      <c r="E12" s="2">
        <v>145.6</v>
      </c>
      <c r="F12" s="2">
        <v>146.69999999999999</v>
      </c>
      <c r="G12" s="2">
        <v>124.3</v>
      </c>
      <c r="H12" s="2">
        <v>147.4</v>
      </c>
      <c r="I12" s="2">
        <v>199.6</v>
      </c>
      <c r="J12" s="2">
        <v>135.69999999999999</v>
      </c>
      <c r="K12" s="2">
        <v>114.2</v>
      </c>
      <c r="L12" s="2">
        <v>147</v>
      </c>
      <c r="M12" s="2">
        <v>135.30000000000001</v>
      </c>
      <c r="N12" s="16">
        <v>157.5</v>
      </c>
      <c r="O12" s="2">
        <v>151.9</v>
      </c>
      <c r="P12" s="2">
        <v>167.9</v>
      </c>
      <c r="Q12" s="2">
        <v>149.9</v>
      </c>
      <c r="R12" s="2">
        <v>141</v>
      </c>
      <c r="S12" s="2">
        <v>148.6</v>
      </c>
      <c r="T12" s="2">
        <v>153.5</v>
      </c>
      <c r="U12" s="2">
        <v>142.30000000000001</v>
      </c>
      <c r="V12" s="2">
        <v>145.30000000000001</v>
      </c>
      <c r="W12" s="2">
        <v>149.9</v>
      </c>
      <c r="X12" s="2">
        <v>126.6</v>
      </c>
      <c r="Y12" s="2">
        <v>142.1</v>
      </c>
      <c r="Z12" s="2">
        <v>155.5</v>
      </c>
      <c r="AA12" s="2">
        <v>140.30000000000001</v>
      </c>
      <c r="AB12" s="2">
        <v>141.30000000000001</v>
      </c>
      <c r="AC12" s="2">
        <v>148.6</v>
      </c>
      <c r="AD12" s="2">
        <v>11</v>
      </c>
      <c r="AF12" s="11">
        <f t="shared" si="0"/>
        <v>146.58333333333334</v>
      </c>
      <c r="AI12" s="11">
        <f t="shared" si="1"/>
        <v>147.03333333333333</v>
      </c>
    </row>
    <row r="13" spans="1:37" x14ac:dyDescent="0.35">
      <c r="A13" s="5" t="s">
        <v>34</v>
      </c>
      <c r="B13" s="8">
        <v>43800</v>
      </c>
      <c r="C13" s="3">
        <v>143.5</v>
      </c>
      <c r="D13" s="3">
        <v>165</v>
      </c>
      <c r="E13" s="3">
        <v>151.1</v>
      </c>
      <c r="F13" s="3">
        <v>148.30000000000001</v>
      </c>
      <c r="G13" s="3">
        <v>125.7</v>
      </c>
      <c r="H13" s="3">
        <v>145.69999999999999</v>
      </c>
      <c r="I13" s="3">
        <v>217</v>
      </c>
      <c r="J13" s="3">
        <v>138.30000000000001</v>
      </c>
      <c r="K13" s="3">
        <v>114</v>
      </c>
      <c r="L13" s="3">
        <v>148.69999999999999</v>
      </c>
      <c r="M13" s="3">
        <v>135.80000000000001</v>
      </c>
      <c r="N13" s="15">
        <v>158</v>
      </c>
      <c r="O13" s="3">
        <v>155</v>
      </c>
      <c r="P13" s="3">
        <v>168.5</v>
      </c>
      <c r="Q13" s="3">
        <v>150.30000000000001</v>
      </c>
      <c r="R13" s="3">
        <v>141.30000000000001</v>
      </c>
      <c r="S13" s="3">
        <v>149</v>
      </c>
      <c r="T13" s="3">
        <v>152.80000000000001</v>
      </c>
      <c r="U13" s="3">
        <v>143.69999999999999</v>
      </c>
      <c r="V13" s="3">
        <v>145.80000000000001</v>
      </c>
      <c r="W13" s="3">
        <v>150.4</v>
      </c>
      <c r="X13" s="3">
        <v>129.80000000000001</v>
      </c>
      <c r="Y13" s="3">
        <v>142.30000000000001</v>
      </c>
      <c r="Z13" s="3">
        <v>155.69999999999999</v>
      </c>
      <c r="AA13" s="3">
        <v>140.4</v>
      </c>
      <c r="AB13" s="3">
        <v>142.5</v>
      </c>
      <c r="AC13" s="3">
        <v>150.4</v>
      </c>
      <c r="AD13" s="3">
        <v>12</v>
      </c>
      <c r="AF13" s="11">
        <f t="shared" si="0"/>
        <v>149.25833333333335</v>
      </c>
      <c r="AI13" s="11">
        <f t="shared" si="1"/>
        <v>147.43333333333334</v>
      </c>
    </row>
    <row r="14" spans="1:37" x14ac:dyDescent="0.35">
      <c r="A14" s="4" t="s">
        <v>34</v>
      </c>
      <c r="B14" s="9">
        <v>43831</v>
      </c>
      <c r="C14" s="2">
        <v>144.30000000000001</v>
      </c>
      <c r="D14" s="2">
        <v>167.4</v>
      </c>
      <c r="E14" s="2">
        <v>154.9</v>
      </c>
      <c r="F14" s="2">
        <v>150.1</v>
      </c>
      <c r="G14" s="2">
        <v>129.9</v>
      </c>
      <c r="H14" s="2">
        <v>143.19999999999999</v>
      </c>
      <c r="I14" s="2">
        <v>197</v>
      </c>
      <c r="J14" s="2">
        <v>140.4</v>
      </c>
      <c r="K14" s="2">
        <v>114.1</v>
      </c>
      <c r="L14" s="2">
        <v>150.9</v>
      </c>
      <c r="M14" s="2">
        <v>136.1</v>
      </c>
      <c r="N14" s="16">
        <v>158.6</v>
      </c>
      <c r="O14" s="2">
        <v>153.5</v>
      </c>
      <c r="P14" s="2">
        <v>169.2</v>
      </c>
      <c r="Q14" s="2">
        <v>150.5</v>
      </c>
      <c r="R14" s="2">
        <v>141.5</v>
      </c>
      <c r="S14" s="2">
        <v>149.19999999999999</v>
      </c>
      <c r="T14" s="2">
        <v>153.9</v>
      </c>
      <c r="U14" s="2">
        <v>144.6</v>
      </c>
      <c r="V14" s="2">
        <v>146.19999999999999</v>
      </c>
      <c r="W14" s="2">
        <v>151.19999999999999</v>
      </c>
      <c r="X14" s="2">
        <v>130.9</v>
      </c>
      <c r="Y14" s="2">
        <v>142.80000000000001</v>
      </c>
      <c r="Z14" s="2">
        <v>156.1</v>
      </c>
      <c r="AA14" s="2">
        <v>142.30000000000001</v>
      </c>
      <c r="AB14" s="2">
        <v>143.4</v>
      </c>
      <c r="AC14" s="2">
        <v>150.19999999999999</v>
      </c>
      <c r="AD14" s="2">
        <v>1</v>
      </c>
      <c r="AF14" s="11">
        <f t="shared" si="0"/>
        <v>148.90833333333333</v>
      </c>
      <c r="AI14" s="11">
        <f t="shared" si="1"/>
        <v>148.23333333333332</v>
      </c>
    </row>
    <row r="15" spans="1:37" x14ac:dyDescent="0.35">
      <c r="A15" s="5" t="s">
        <v>34</v>
      </c>
      <c r="B15" s="8">
        <v>43862</v>
      </c>
      <c r="C15" s="3">
        <v>144.80000000000001</v>
      </c>
      <c r="D15" s="3">
        <v>167.5</v>
      </c>
      <c r="E15" s="3">
        <v>151.80000000000001</v>
      </c>
      <c r="F15" s="3">
        <v>150.80000000000001</v>
      </c>
      <c r="G15" s="3">
        <v>131.4</v>
      </c>
      <c r="H15" s="3">
        <v>141.80000000000001</v>
      </c>
      <c r="I15" s="3">
        <v>170.7</v>
      </c>
      <c r="J15" s="3">
        <v>141.1</v>
      </c>
      <c r="K15" s="3">
        <v>113.6</v>
      </c>
      <c r="L15" s="3">
        <v>152</v>
      </c>
      <c r="M15" s="3">
        <v>136.5</v>
      </c>
      <c r="N15" s="15">
        <v>159.1</v>
      </c>
      <c r="O15" s="3">
        <v>150.5</v>
      </c>
      <c r="P15" s="3">
        <v>170.1</v>
      </c>
      <c r="Q15" s="3">
        <v>150.80000000000001</v>
      </c>
      <c r="R15" s="3">
        <v>141.69999999999999</v>
      </c>
      <c r="S15" s="3">
        <v>149.5</v>
      </c>
      <c r="T15" s="3">
        <v>154.80000000000001</v>
      </c>
      <c r="U15" s="3">
        <v>147.19999999999999</v>
      </c>
      <c r="V15" s="3">
        <v>146.4</v>
      </c>
      <c r="W15" s="3">
        <v>151.69999999999999</v>
      </c>
      <c r="X15" s="3">
        <v>130.30000000000001</v>
      </c>
      <c r="Y15" s="3">
        <v>143.19999999999999</v>
      </c>
      <c r="Z15" s="3">
        <v>156.19999999999999</v>
      </c>
      <c r="AA15" s="3">
        <v>143.4</v>
      </c>
      <c r="AB15" s="3">
        <v>143.6</v>
      </c>
      <c r="AC15" s="3">
        <v>149.1</v>
      </c>
      <c r="AD15" s="3">
        <v>2</v>
      </c>
      <c r="AF15" s="11">
        <f t="shared" si="0"/>
        <v>146.75833333333333</v>
      </c>
      <c r="AI15" s="11">
        <f t="shared" si="1"/>
        <v>149.46666666666667</v>
      </c>
    </row>
    <row r="16" spans="1:37" x14ac:dyDescent="0.35">
      <c r="A16" s="4" t="s">
        <v>34</v>
      </c>
      <c r="B16" s="9">
        <v>43891</v>
      </c>
      <c r="C16" s="2">
        <v>145.1</v>
      </c>
      <c r="D16" s="2">
        <v>167</v>
      </c>
      <c r="E16" s="2">
        <v>148.1</v>
      </c>
      <c r="F16" s="2">
        <v>151.5</v>
      </c>
      <c r="G16" s="2">
        <v>131.19999999999999</v>
      </c>
      <c r="H16" s="2">
        <v>142.5</v>
      </c>
      <c r="I16" s="2">
        <v>157.30000000000001</v>
      </c>
      <c r="J16" s="2">
        <v>141.1</v>
      </c>
      <c r="K16" s="2">
        <v>113.2</v>
      </c>
      <c r="L16" s="2">
        <v>153.19999999999999</v>
      </c>
      <c r="M16" s="2">
        <v>136.69999999999999</v>
      </c>
      <c r="N16" s="16">
        <v>159.6</v>
      </c>
      <c r="O16" s="2">
        <v>148.9</v>
      </c>
      <c r="P16" s="2">
        <v>171.2</v>
      </c>
      <c r="Q16" s="2">
        <v>151.19999999999999</v>
      </c>
      <c r="R16" s="2">
        <v>141.9</v>
      </c>
      <c r="S16" s="2">
        <v>149.80000000000001</v>
      </c>
      <c r="T16" s="2">
        <v>154.5</v>
      </c>
      <c r="U16" s="2">
        <v>148.9</v>
      </c>
      <c r="V16" s="2">
        <v>146.4</v>
      </c>
      <c r="W16" s="2">
        <v>152.30000000000001</v>
      </c>
      <c r="X16" s="2">
        <v>129.9</v>
      </c>
      <c r="Y16" s="2">
        <v>143.69999999999999</v>
      </c>
      <c r="Z16" s="2">
        <v>156.1</v>
      </c>
      <c r="AA16" s="2">
        <v>145.19999999999999</v>
      </c>
      <c r="AB16" s="2">
        <v>143.80000000000001</v>
      </c>
      <c r="AC16" s="2">
        <v>148.6</v>
      </c>
      <c r="AD16" s="2">
        <v>3</v>
      </c>
      <c r="AF16" s="11">
        <f t="shared" si="0"/>
        <v>145.54166666666666</v>
      </c>
      <c r="AI16" s="11">
        <f t="shared" si="1"/>
        <v>149.93333333333331</v>
      </c>
    </row>
    <row r="17" spans="1:37" x14ac:dyDescent="0.35">
      <c r="A17" s="5" t="s">
        <v>34</v>
      </c>
      <c r="B17" s="8">
        <v>43922</v>
      </c>
      <c r="C17" s="3">
        <v>148.69999999999999</v>
      </c>
      <c r="D17" s="3">
        <v>179.85</v>
      </c>
      <c r="E17" s="3">
        <v>148.80000000000001</v>
      </c>
      <c r="F17" s="3">
        <v>155.6</v>
      </c>
      <c r="G17" s="3">
        <v>135.1</v>
      </c>
      <c r="H17" s="3">
        <v>149.9</v>
      </c>
      <c r="I17" s="3">
        <v>168.6</v>
      </c>
      <c r="J17" s="3">
        <v>150.4</v>
      </c>
      <c r="K17" s="3">
        <v>120.3</v>
      </c>
      <c r="L17" s="3">
        <v>157.1</v>
      </c>
      <c r="M17" s="3">
        <v>136.80000000000001</v>
      </c>
      <c r="N17" s="15">
        <v>160.69999999999999</v>
      </c>
      <c r="O17" s="3">
        <v>151.4</v>
      </c>
      <c r="P17" s="3">
        <v>177.35</v>
      </c>
      <c r="Q17" s="3">
        <v>151.85</v>
      </c>
      <c r="R17" s="3">
        <v>143.15</v>
      </c>
      <c r="S17" s="3">
        <v>150.6</v>
      </c>
      <c r="T17" s="3">
        <v>155.6</v>
      </c>
      <c r="U17" s="3">
        <v>144.1</v>
      </c>
      <c r="V17" s="3">
        <v>146.4</v>
      </c>
      <c r="W17" s="3">
        <v>150.69999999999999</v>
      </c>
      <c r="X17" s="3">
        <v>132.44999999999999</v>
      </c>
      <c r="Y17" s="3">
        <v>146</v>
      </c>
      <c r="Z17" s="3">
        <v>156.25</v>
      </c>
      <c r="AA17" s="3">
        <v>148.4</v>
      </c>
      <c r="AB17" s="3">
        <v>145.4</v>
      </c>
      <c r="AC17" s="3">
        <v>150.19999999999999</v>
      </c>
      <c r="AD17" s="3">
        <v>4</v>
      </c>
      <c r="AF17" s="11">
        <f t="shared" si="0"/>
        <v>150.98749999999998</v>
      </c>
      <c r="AG17" s="13">
        <f>(AF17/AF5)-1</f>
        <v>0.11512186115214162</v>
      </c>
      <c r="AH17" s="13">
        <f>(W17/W5)-1</f>
        <v>3.0779753761969841E-2</v>
      </c>
      <c r="AI17" s="11">
        <f t="shared" si="1"/>
        <v>148.70000000000002</v>
      </c>
      <c r="AJ17" s="13">
        <f>(AI17/AI5)-1</f>
        <v>3.1445086705202518E-2</v>
      </c>
      <c r="AK17" s="13">
        <f t="shared" ref="AK17:AK28" si="2">(AC17/AC5)-1</f>
        <v>6.9800569800569701E-2</v>
      </c>
    </row>
    <row r="18" spans="1:37" x14ac:dyDescent="0.35">
      <c r="A18" s="4" t="s">
        <v>34</v>
      </c>
      <c r="B18" s="9">
        <v>43952</v>
      </c>
      <c r="C18" s="2">
        <v>149.15</v>
      </c>
      <c r="D18" s="2">
        <v>186.28</v>
      </c>
      <c r="E18" s="2">
        <v>150.1</v>
      </c>
      <c r="F18" s="2">
        <v>154.44999999999999</v>
      </c>
      <c r="G18" s="2">
        <v>135.54</v>
      </c>
      <c r="H18" s="2">
        <v>148.19</v>
      </c>
      <c r="I18" s="2">
        <v>162.55000000000001</v>
      </c>
      <c r="J18" s="2">
        <v>150.65</v>
      </c>
      <c r="K18" s="2">
        <v>117.25</v>
      </c>
      <c r="L18" s="2">
        <v>156.4</v>
      </c>
      <c r="M18" s="2">
        <v>138.1</v>
      </c>
      <c r="N18" s="16">
        <v>161.25</v>
      </c>
      <c r="O18" s="2">
        <v>152.69999999999999</v>
      </c>
      <c r="P18" s="2">
        <v>180.43</v>
      </c>
      <c r="Q18" s="2">
        <v>152.18</v>
      </c>
      <c r="R18" s="2">
        <v>143.78</v>
      </c>
      <c r="S18" s="2">
        <v>151</v>
      </c>
      <c r="T18" s="2">
        <v>139.19999999999999</v>
      </c>
      <c r="U18" s="2">
        <v>143</v>
      </c>
      <c r="V18" s="2">
        <v>146.4</v>
      </c>
      <c r="W18" s="2">
        <v>152.55000000000001</v>
      </c>
      <c r="X18" s="2">
        <v>133.72999999999999</v>
      </c>
      <c r="Y18" s="2">
        <v>147.15</v>
      </c>
      <c r="Z18" s="2">
        <v>156.33000000000001</v>
      </c>
      <c r="AA18" s="2">
        <v>150</v>
      </c>
      <c r="AB18" s="2">
        <v>146.19999999999999</v>
      </c>
      <c r="AC18" s="2">
        <v>151</v>
      </c>
      <c r="AD18" s="2">
        <v>5</v>
      </c>
      <c r="AF18" s="11">
        <f t="shared" si="0"/>
        <v>150.82583333333335</v>
      </c>
      <c r="AG18" s="13">
        <f t="shared" ref="AG18:AG28" si="3">(AF18/AF6)-1</f>
        <v>9.62507571168989E-2</v>
      </c>
      <c r="AH18" s="13">
        <f t="shared" ref="AH18:AH28" si="4">(W18/W6)-1</f>
        <v>3.8461538461538547E-2</v>
      </c>
      <c r="AI18" s="11">
        <f t="shared" si="1"/>
        <v>142.86666666666667</v>
      </c>
      <c r="AJ18" s="13">
        <f t="shared" ref="AJ18:AJ28" si="5">(AI18/AI6)-1</f>
        <v>-1.2669891730015981E-2</v>
      </c>
      <c r="AK18" s="13">
        <f t="shared" si="2"/>
        <v>6.3380281690140761E-2</v>
      </c>
    </row>
    <row r="19" spans="1:37" x14ac:dyDescent="0.35">
      <c r="A19" s="5" t="s">
        <v>34</v>
      </c>
      <c r="B19" s="8">
        <v>43983</v>
      </c>
      <c r="C19" s="3">
        <v>149.6</v>
      </c>
      <c r="D19" s="3">
        <v>192.7</v>
      </c>
      <c r="E19" s="3">
        <v>151.4</v>
      </c>
      <c r="F19" s="3">
        <v>153.30000000000001</v>
      </c>
      <c r="G19" s="3">
        <v>136.30000000000001</v>
      </c>
      <c r="H19" s="3">
        <v>147.19999999999999</v>
      </c>
      <c r="I19" s="3">
        <v>156.5</v>
      </c>
      <c r="J19" s="3">
        <v>150.9</v>
      </c>
      <c r="K19" s="3">
        <v>114.2</v>
      </c>
      <c r="L19" s="3">
        <v>159.5</v>
      </c>
      <c r="M19" s="3">
        <v>139.4</v>
      </c>
      <c r="N19" s="15">
        <v>161.80000000000001</v>
      </c>
      <c r="O19" s="3">
        <v>154</v>
      </c>
      <c r="P19" s="3">
        <v>183.5</v>
      </c>
      <c r="Q19" s="3">
        <v>152.5</v>
      </c>
      <c r="R19" s="3">
        <v>144.4</v>
      </c>
      <c r="S19" s="3">
        <v>151.4</v>
      </c>
      <c r="T19" s="3">
        <v>154.69999999999999</v>
      </c>
      <c r="U19" s="3">
        <v>141.9</v>
      </c>
      <c r="V19" s="3">
        <v>146.4</v>
      </c>
      <c r="W19" s="3">
        <v>154.4</v>
      </c>
      <c r="X19" s="3">
        <v>135</v>
      </c>
      <c r="Y19" s="3">
        <v>148.30000000000001</v>
      </c>
      <c r="Z19" s="3">
        <v>156.4</v>
      </c>
      <c r="AA19" s="3">
        <v>151.6</v>
      </c>
      <c r="AB19" s="3">
        <v>147</v>
      </c>
      <c r="AC19" s="3">
        <v>151.80000000000001</v>
      </c>
      <c r="AD19" s="3">
        <v>6</v>
      </c>
      <c r="AF19" s="11">
        <f t="shared" si="0"/>
        <v>151.06666666666669</v>
      </c>
      <c r="AG19" s="13">
        <f t="shared" si="3"/>
        <v>8.4599736747636989E-2</v>
      </c>
      <c r="AH19" s="13">
        <f t="shared" si="4"/>
        <v>4.7489823609226489E-2</v>
      </c>
      <c r="AI19" s="11">
        <f t="shared" si="1"/>
        <v>147.66666666666666</v>
      </c>
      <c r="AJ19" s="13">
        <f t="shared" si="5"/>
        <v>1.9797421731123199E-2</v>
      </c>
      <c r="AK19" s="13">
        <f t="shared" si="2"/>
        <v>6.2281315605318355E-2</v>
      </c>
    </row>
    <row r="20" spans="1:37" x14ac:dyDescent="0.35">
      <c r="A20" s="4" t="s">
        <v>34</v>
      </c>
      <c r="B20" s="9">
        <v>44013</v>
      </c>
      <c r="C20" s="2">
        <v>149.6</v>
      </c>
      <c r="D20" s="2">
        <v>192.7</v>
      </c>
      <c r="E20" s="2">
        <v>151.4</v>
      </c>
      <c r="F20" s="2">
        <v>153.30000000000001</v>
      </c>
      <c r="G20" s="2">
        <v>136.30000000000001</v>
      </c>
      <c r="H20" s="2">
        <v>147.19999999999999</v>
      </c>
      <c r="I20" s="2">
        <v>156.5</v>
      </c>
      <c r="J20" s="2">
        <v>150.9</v>
      </c>
      <c r="K20" s="2">
        <v>114.2</v>
      </c>
      <c r="L20" s="2">
        <v>159.5</v>
      </c>
      <c r="M20" s="2">
        <v>139.4</v>
      </c>
      <c r="N20" s="16">
        <v>161.80000000000001</v>
      </c>
      <c r="O20" s="2">
        <v>154</v>
      </c>
      <c r="P20" s="2">
        <v>183.5</v>
      </c>
      <c r="Q20" s="2">
        <v>152.5</v>
      </c>
      <c r="R20" s="2">
        <v>144.4</v>
      </c>
      <c r="S20" s="2">
        <v>151.4</v>
      </c>
      <c r="T20" s="2">
        <v>154.69999999999999</v>
      </c>
      <c r="U20" s="2">
        <v>141.9</v>
      </c>
      <c r="V20" s="2">
        <v>146.4</v>
      </c>
      <c r="W20" s="2">
        <v>154.4</v>
      </c>
      <c r="X20" s="2">
        <v>135</v>
      </c>
      <c r="Y20" s="2">
        <v>148.30000000000001</v>
      </c>
      <c r="Z20" s="2">
        <v>156.4</v>
      </c>
      <c r="AA20" s="2">
        <v>151.6</v>
      </c>
      <c r="AB20" s="2">
        <v>147</v>
      </c>
      <c r="AC20" s="2">
        <v>151.80000000000001</v>
      </c>
      <c r="AD20" s="2">
        <v>7</v>
      </c>
      <c r="AF20" s="11">
        <f t="shared" si="0"/>
        <v>151.06666666666669</v>
      </c>
      <c r="AG20" s="13">
        <f t="shared" si="3"/>
        <v>7.0888468809073846E-2</v>
      </c>
      <c r="AH20" s="13">
        <f t="shared" si="4"/>
        <v>4.3948613928330049E-2</v>
      </c>
      <c r="AI20" s="11">
        <f t="shared" si="1"/>
        <v>147.66666666666666</v>
      </c>
      <c r="AJ20" s="13">
        <f t="shared" si="5"/>
        <v>2.0502188435844282E-2</v>
      </c>
      <c r="AK20" s="13">
        <f t="shared" si="2"/>
        <v>5.2704576976421835E-2</v>
      </c>
    </row>
    <row r="21" spans="1:37" x14ac:dyDescent="0.35">
      <c r="A21" s="5" t="s">
        <v>34</v>
      </c>
      <c r="B21" s="8">
        <v>44044</v>
      </c>
      <c r="C21" s="3">
        <v>148.9</v>
      </c>
      <c r="D21" s="3">
        <v>190.9</v>
      </c>
      <c r="E21" s="3">
        <v>150.80000000000001</v>
      </c>
      <c r="F21" s="3">
        <v>153.30000000000001</v>
      </c>
      <c r="G21" s="3">
        <v>137.4</v>
      </c>
      <c r="H21" s="3">
        <v>150.4</v>
      </c>
      <c r="I21" s="3">
        <v>178.1</v>
      </c>
      <c r="J21" s="3">
        <v>150.4</v>
      </c>
      <c r="K21" s="3">
        <v>115.1</v>
      </c>
      <c r="L21" s="3">
        <v>160</v>
      </c>
      <c r="M21" s="3">
        <v>140.6</v>
      </c>
      <c r="N21" s="15">
        <v>162.30000000000001</v>
      </c>
      <c r="O21" s="3">
        <v>157</v>
      </c>
      <c r="P21" s="3">
        <v>182.6</v>
      </c>
      <c r="Q21" s="3">
        <v>153.1</v>
      </c>
      <c r="R21" s="3">
        <v>143.4</v>
      </c>
      <c r="S21" s="3">
        <v>151.69999999999999</v>
      </c>
      <c r="T21" s="3">
        <v>155.5</v>
      </c>
      <c r="U21" s="3">
        <v>143</v>
      </c>
      <c r="V21" s="3">
        <v>148.4</v>
      </c>
      <c r="W21" s="3">
        <v>155</v>
      </c>
      <c r="X21" s="3">
        <v>138.5</v>
      </c>
      <c r="Y21" s="3">
        <v>146</v>
      </c>
      <c r="Z21" s="3">
        <v>158.5</v>
      </c>
      <c r="AA21" s="3">
        <v>154.30000000000001</v>
      </c>
      <c r="AB21" s="3">
        <v>149</v>
      </c>
      <c r="AC21" s="3">
        <v>153.9</v>
      </c>
      <c r="AD21" s="3">
        <v>8</v>
      </c>
      <c r="AF21" s="11">
        <f t="shared" si="0"/>
        <v>153.18333333333331</v>
      </c>
      <c r="AG21" s="13">
        <f t="shared" si="3"/>
        <v>8.0912619075620196E-2</v>
      </c>
      <c r="AH21" s="13">
        <f t="shared" si="4"/>
        <v>4.3771043771043683E-2</v>
      </c>
      <c r="AI21" s="11">
        <f t="shared" si="1"/>
        <v>148.96666666666667</v>
      </c>
      <c r="AJ21" s="13">
        <f t="shared" si="5"/>
        <v>2.8301886792452713E-2</v>
      </c>
      <c r="AK21" s="13">
        <f t="shared" si="2"/>
        <v>6.1379310344827687E-2</v>
      </c>
    </row>
    <row r="22" spans="1:37" x14ac:dyDescent="0.35">
      <c r="A22" s="4" t="s">
        <v>34</v>
      </c>
      <c r="B22" s="9">
        <v>44075</v>
      </c>
      <c r="C22" s="2">
        <v>148.4</v>
      </c>
      <c r="D22" s="2">
        <v>187.1</v>
      </c>
      <c r="E22" s="2">
        <v>152.5</v>
      </c>
      <c r="F22" s="2">
        <v>153.6</v>
      </c>
      <c r="G22" s="2">
        <v>138.19999999999999</v>
      </c>
      <c r="H22" s="2">
        <v>150.9</v>
      </c>
      <c r="I22" s="2">
        <v>186.7</v>
      </c>
      <c r="J22" s="2">
        <v>149.80000000000001</v>
      </c>
      <c r="K22" s="2">
        <v>116.4</v>
      </c>
      <c r="L22" s="2">
        <v>160.30000000000001</v>
      </c>
      <c r="M22" s="2">
        <v>142.19999999999999</v>
      </c>
      <c r="N22" s="16">
        <v>162.9</v>
      </c>
      <c r="O22" s="2">
        <v>158</v>
      </c>
      <c r="P22" s="2">
        <v>184.4</v>
      </c>
      <c r="Q22" s="2">
        <v>153.4</v>
      </c>
      <c r="R22" s="2">
        <v>144.30000000000001</v>
      </c>
      <c r="S22" s="2">
        <v>152</v>
      </c>
      <c r="T22" s="2">
        <v>156.30000000000001</v>
      </c>
      <c r="U22" s="2">
        <v>142.9</v>
      </c>
      <c r="V22" s="2">
        <v>148.69999999999999</v>
      </c>
      <c r="W22" s="2">
        <v>155.6</v>
      </c>
      <c r="X22" s="2">
        <v>139.6</v>
      </c>
      <c r="Y22" s="2">
        <v>146.6</v>
      </c>
      <c r="Z22" s="2">
        <v>157.5</v>
      </c>
      <c r="AA22" s="2">
        <v>158.4</v>
      </c>
      <c r="AB22" s="2">
        <v>150</v>
      </c>
      <c r="AC22" s="2">
        <v>154.69999999999999</v>
      </c>
      <c r="AD22" s="2">
        <v>9</v>
      </c>
      <c r="AF22" s="11">
        <f t="shared" si="0"/>
        <v>154.08333333333334</v>
      </c>
      <c r="AG22" s="13">
        <f t="shared" si="3"/>
        <v>8.0844098906880379E-2</v>
      </c>
      <c r="AH22" s="13">
        <f t="shared" si="4"/>
        <v>4.4295302013422688E-2</v>
      </c>
      <c r="AI22" s="11">
        <f t="shared" si="1"/>
        <v>149.30000000000001</v>
      </c>
      <c r="AJ22" s="13">
        <f t="shared" si="5"/>
        <v>2.729357798165144E-2</v>
      </c>
      <c r="AK22" s="13">
        <f t="shared" si="2"/>
        <v>6.104252400548682E-2</v>
      </c>
    </row>
    <row r="23" spans="1:37" x14ac:dyDescent="0.35">
      <c r="A23" s="5" t="s">
        <v>34</v>
      </c>
      <c r="B23" s="8">
        <v>44105</v>
      </c>
      <c r="C23" s="3">
        <v>147.5</v>
      </c>
      <c r="D23" s="3">
        <v>188.9</v>
      </c>
      <c r="E23" s="3">
        <v>161.4</v>
      </c>
      <c r="F23" s="3">
        <v>153.6</v>
      </c>
      <c r="G23" s="3">
        <v>140.1</v>
      </c>
      <c r="H23" s="3">
        <v>151.19999999999999</v>
      </c>
      <c r="I23" s="3">
        <v>209.2</v>
      </c>
      <c r="J23" s="3">
        <v>150.9</v>
      </c>
      <c r="K23" s="3">
        <v>116.2</v>
      </c>
      <c r="L23" s="3">
        <v>161</v>
      </c>
      <c r="M23" s="3">
        <v>144</v>
      </c>
      <c r="N23" s="15">
        <v>163.19999999999999</v>
      </c>
      <c r="O23" s="3">
        <v>161.4</v>
      </c>
      <c r="P23" s="3">
        <v>184.3</v>
      </c>
      <c r="Q23" s="3">
        <v>153.69999999999999</v>
      </c>
      <c r="R23" s="3">
        <v>144.6</v>
      </c>
      <c r="S23" s="3">
        <v>152.30000000000001</v>
      </c>
      <c r="T23" s="3">
        <v>156.5</v>
      </c>
      <c r="U23" s="3">
        <v>143.1</v>
      </c>
      <c r="V23" s="3">
        <v>148.69999999999999</v>
      </c>
      <c r="W23" s="3">
        <v>156.30000000000001</v>
      </c>
      <c r="X23" s="3">
        <v>140.6</v>
      </c>
      <c r="Y23" s="3">
        <v>146.5</v>
      </c>
      <c r="Z23" s="3">
        <v>158.5</v>
      </c>
      <c r="AA23" s="3">
        <v>157</v>
      </c>
      <c r="AB23" s="3">
        <v>150.4</v>
      </c>
      <c r="AC23" s="3">
        <v>156.4</v>
      </c>
      <c r="AD23" s="3">
        <v>10</v>
      </c>
      <c r="AF23" s="11">
        <f t="shared" si="0"/>
        <v>157.26666666666668</v>
      </c>
      <c r="AG23" s="13">
        <f t="shared" si="3"/>
        <v>8.7096774193548443E-2</v>
      </c>
      <c r="AH23" s="13">
        <f t="shared" si="4"/>
        <v>4.6184738955823423E-2</v>
      </c>
      <c r="AI23" s="11">
        <f t="shared" si="1"/>
        <v>149.43333333333334</v>
      </c>
      <c r="AJ23" s="13">
        <f t="shared" si="5"/>
        <v>2.2115823073415308E-2</v>
      </c>
      <c r="AK23" s="13">
        <f t="shared" si="2"/>
        <v>6.2500000000000222E-2</v>
      </c>
    </row>
    <row r="24" spans="1:37" x14ac:dyDescent="0.35">
      <c r="A24" s="4" t="s">
        <v>34</v>
      </c>
      <c r="B24" s="9">
        <v>44136</v>
      </c>
      <c r="C24" s="2">
        <v>146.80000000000001</v>
      </c>
      <c r="D24" s="2">
        <v>191</v>
      </c>
      <c r="E24" s="2">
        <v>173.6</v>
      </c>
      <c r="F24" s="2">
        <v>153.80000000000001</v>
      </c>
      <c r="G24" s="2">
        <v>142.69999999999999</v>
      </c>
      <c r="H24" s="2">
        <v>148.4</v>
      </c>
      <c r="I24" s="2">
        <v>230</v>
      </c>
      <c r="J24" s="2">
        <v>156.80000000000001</v>
      </c>
      <c r="K24" s="2">
        <v>115.7</v>
      </c>
      <c r="L24" s="2">
        <v>161.80000000000001</v>
      </c>
      <c r="M24" s="2">
        <v>146.5</v>
      </c>
      <c r="N24" s="16">
        <v>163.80000000000001</v>
      </c>
      <c r="O24" s="2">
        <v>164.7</v>
      </c>
      <c r="P24" s="2">
        <v>184.8</v>
      </c>
      <c r="Q24" s="2">
        <v>154.30000000000001</v>
      </c>
      <c r="R24" s="2">
        <v>144.9</v>
      </c>
      <c r="S24" s="2">
        <v>152.80000000000001</v>
      </c>
      <c r="T24" s="2">
        <v>158</v>
      </c>
      <c r="U24" s="2">
        <v>143.6</v>
      </c>
      <c r="V24" s="2">
        <v>149.19999999999999</v>
      </c>
      <c r="W24" s="2">
        <v>157.19999999999999</v>
      </c>
      <c r="X24" s="2">
        <v>140.4</v>
      </c>
      <c r="Y24" s="2">
        <v>148.4</v>
      </c>
      <c r="Z24" s="2">
        <v>158.6</v>
      </c>
      <c r="AA24" s="2">
        <v>156.9</v>
      </c>
      <c r="AB24" s="2">
        <v>150.69999999999999</v>
      </c>
      <c r="AC24" s="2">
        <v>158.4</v>
      </c>
      <c r="AD24" s="2">
        <v>11</v>
      </c>
      <c r="AF24" s="11">
        <f t="shared" si="0"/>
        <v>160.90833333333333</v>
      </c>
      <c r="AG24" s="13">
        <f t="shared" si="3"/>
        <v>9.772598067083571E-2</v>
      </c>
      <c r="AH24" s="13">
        <f t="shared" si="4"/>
        <v>4.8699132755170016E-2</v>
      </c>
      <c r="AI24" s="11">
        <f t="shared" si="1"/>
        <v>150.26666666666668</v>
      </c>
      <c r="AJ24" s="13">
        <f t="shared" si="5"/>
        <v>2.1990478349580789E-2</v>
      </c>
      <c r="AK24" s="13">
        <f t="shared" si="2"/>
        <v>6.5948855989232946E-2</v>
      </c>
    </row>
    <row r="25" spans="1:37" x14ac:dyDescent="0.35">
      <c r="A25" s="5" t="s">
        <v>34</v>
      </c>
      <c r="B25" s="8">
        <v>44166</v>
      </c>
      <c r="C25" s="3">
        <v>146</v>
      </c>
      <c r="D25" s="3">
        <v>191</v>
      </c>
      <c r="E25" s="3">
        <v>175.3</v>
      </c>
      <c r="F25" s="3">
        <v>154.1</v>
      </c>
      <c r="G25" s="3">
        <v>146.6</v>
      </c>
      <c r="H25" s="3">
        <v>147.69999999999999</v>
      </c>
      <c r="I25" s="3">
        <v>230.5</v>
      </c>
      <c r="J25" s="3">
        <v>160.19999999999999</v>
      </c>
      <c r="K25" s="3">
        <v>115.3</v>
      </c>
      <c r="L25" s="3">
        <v>163</v>
      </c>
      <c r="M25" s="3">
        <v>149.19999999999999</v>
      </c>
      <c r="N25" s="15">
        <v>164.8</v>
      </c>
      <c r="O25" s="3">
        <v>165.4</v>
      </c>
      <c r="P25" s="3">
        <v>185.4</v>
      </c>
      <c r="Q25" s="3">
        <v>155</v>
      </c>
      <c r="R25" s="3">
        <v>145.4</v>
      </c>
      <c r="S25" s="3">
        <v>153.6</v>
      </c>
      <c r="T25" s="3">
        <v>158.4</v>
      </c>
      <c r="U25" s="3">
        <v>144.6</v>
      </c>
      <c r="V25" s="3">
        <v>149.69999999999999</v>
      </c>
      <c r="W25" s="3">
        <v>158.30000000000001</v>
      </c>
      <c r="X25" s="3">
        <v>140.69999999999999</v>
      </c>
      <c r="Y25" s="3">
        <v>148.5</v>
      </c>
      <c r="Z25" s="3">
        <v>159.4</v>
      </c>
      <c r="AA25" s="3">
        <v>157.1</v>
      </c>
      <c r="AB25" s="3">
        <v>151.19999999999999</v>
      </c>
      <c r="AC25" s="3">
        <v>158.9</v>
      </c>
      <c r="AD25" s="3">
        <v>12</v>
      </c>
      <c r="AF25" s="11">
        <f t="shared" si="0"/>
        <v>161.97499999999999</v>
      </c>
      <c r="AG25" s="13">
        <f t="shared" si="3"/>
        <v>8.5199039696275847E-2</v>
      </c>
      <c r="AH25" s="13">
        <f t="shared" si="4"/>
        <v>5.2526595744680993E-2</v>
      </c>
      <c r="AI25" s="11">
        <f t="shared" si="1"/>
        <v>150.9</v>
      </c>
      <c r="AJ25" s="13">
        <f t="shared" si="5"/>
        <v>2.3513452407867952E-2</v>
      </c>
      <c r="AK25" s="13">
        <f t="shared" si="2"/>
        <v>5.6515957446808596E-2</v>
      </c>
    </row>
    <row r="26" spans="1:37" x14ac:dyDescent="0.35">
      <c r="A26" s="4" t="s">
        <v>34</v>
      </c>
      <c r="B26" s="9">
        <v>44197</v>
      </c>
      <c r="C26" s="2">
        <v>144.9</v>
      </c>
      <c r="D26" s="2">
        <v>190.1</v>
      </c>
      <c r="E26" s="2">
        <v>175.3</v>
      </c>
      <c r="F26" s="2">
        <v>154.1</v>
      </c>
      <c r="G26" s="2">
        <v>150.9</v>
      </c>
      <c r="H26" s="2">
        <v>149.6</v>
      </c>
      <c r="I26" s="2">
        <v>194.2</v>
      </c>
      <c r="J26" s="2">
        <v>160.4</v>
      </c>
      <c r="K26" s="2">
        <v>114.6</v>
      </c>
      <c r="L26" s="2">
        <v>164</v>
      </c>
      <c r="M26" s="2">
        <v>151.80000000000001</v>
      </c>
      <c r="N26" s="16">
        <v>165.6</v>
      </c>
      <c r="O26" s="2">
        <v>161</v>
      </c>
      <c r="P26" s="2">
        <v>186.5</v>
      </c>
      <c r="Q26" s="2">
        <v>155.5</v>
      </c>
      <c r="R26" s="2">
        <v>146.1</v>
      </c>
      <c r="S26" s="2">
        <v>154.19999999999999</v>
      </c>
      <c r="T26" s="2">
        <v>157.69999999999999</v>
      </c>
      <c r="U26" s="2">
        <v>147.9</v>
      </c>
      <c r="V26" s="2">
        <v>150</v>
      </c>
      <c r="W26" s="2">
        <v>159.30000000000001</v>
      </c>
      <c r="X26" s="2">
        <v>141.9</v>
      </c>
      <c r="Y26" s="2">
        <v>149.6</v>
      </c>
      <c r="Z26" s="2">
        <v>159.19999999999999</v>
      </c>
      <c r="AA26" s="2">
        <v>156.80000000000001</v>
      </c>
      <c r="AB26" s="2">
        <v>151.9</v>
      </c>
      <c r="AC26" s="2">
        <v>157.30000000000001</v>
      </c>
      <c r="AD26" s="2">
        <v>1</v>
      </c>
      <c r="AF26" s="11">
        <f t="shared" si="0"/>
        <v>159.62499999999997</v>
      </c>
      <c r="AG26" s="13">
        <f t="shared" si="3"/>
        <v>7.1968213106497148E-2</v>
      </c>
      <c r="AH26" s="13">
        <f t="shared" si="4"/>
        <v>5.3571428571428825E-2</v>
      </c>
      <c r="AI26" s="11">
        <f t="shared" si="1"/>
        <v>151.86666666666667</v>
      </c>
      <c r="AJ26" s="13">
        <f t="shared" si="5"/>
        <v>2.4510906228918605E-2</v>
      </c>
      <c r="AK26" s="13">
        <f t="shared" si="2"/>
        <v>4.7270306258322403E-2</v>
      </c>
    </row>
    <row r="27" spans="1:37" x14ac:dyDescent="0.35">
      <c r="A27" s="5" t="s">
        <v>34</v>
      </c>
      <c r="B27" s="8">
        <v>44228</v>
      </c>
      <c r="C27" s="3">
        <v>144.30000000000001</v>
      </c>
      <c r="D27" s="3">
        <v>186.5</v>
      </c>
      <c r="E27" s="3">
        <v>168.7</v>
      </c>
      <c r="F27" s="3">
        <v>154.69999999999999</v>
      </c>
      <c r="G27" s="3">
        <v>158.69999999999999</v>
      </c>
      <c r="H27" s="3">
        <v>150.69999999999999</v>
      </c>
      <c r="I27" s="3">
        <v>160</v>
      </c>
      <c r="J27" s="3">
        <v>158.80000000000001</v>
      </c>
      <c r="K27" s="3">
        <v>112.8</v>
      </c>
      <c r="L27" s="3">
        <v>164.2</v>
      </c>
      <c r="M27" s="3">
        <v>155.5</v>
      </c>
      <c r="N27" s="15">
        <v>167.5</v>
      </c>
      <c r="O27" s="3">
        <v>156.9</v>
      </c>
      <c r="P27" s="3">
        <v>188.3</v>
      </c>
      <c r="Q27" s="3">
        <v>157.19999999999999</v>
      </c>
      <c r="R27" s="3">
        <v>147.4</v>
      </c>
      <c r="S27" s="3">
        <v>155.80000000000001</v>
      </c>
      <c r="T27" s="3">
        <v>159.80000000000001</v>
      </c>
      <c r="U27" s="3">
        <v>152.4</v>
      </c>
      <c r="V27" s="3">
        <v>150.9</v>
      </c>
      <c r="W27" s="3">
        <v>161.30000000000001</v>
      </c>
      <c r="X27" s="3">
        <v>145.1</v>
      </c>
      <c r="Y27" s="3">
        <v>151.5</v>
      </c>
      <c r="Z27" s="3">
        <v>159.5</v>
      </c>
      <c r="AA27" s="3">
        <v>155.80000000000001</v>
      </c>
      <c r="AB27" s="3">
        <v>153.4</v>
      </c>
      <c r="AC27" s="3">
        <v>156.6</v>
      </c>
      <c r="AD27" s="3">
        <v>2</v>
      </c>
      <c r="AF27" s="11">
        <f t="shared" si="0"/>
        <v>156.86666666666667</v>
      </c>
      <c r="AG27" s="13">
        <f t="shared" si="3"/>
        <v>6.887740616660043E-2</v>
      </c>
      <c r="AH27" s="13">
        <f t="shared" si="4"/>
        <v>6.3282794990112246E-2</v>
      </c>
      <c r="AI27" s="11">
        <f t="shared" si="1"/>
        <v>154.36666666666667</v>
      </c>
      <c r="AJ27" s="13">
        <f t="shared" si="5"/>
        <v>3.2783229259589763E-2</v>
      </c>
      <c r="AK27" s="13">
        <f t="shared" si="2"/>
        <v>5.0301810865191143E-2</v>
      </c>
    </row>
    <row r="28" spans="1:37" x14ac:dyDescent="0.35">
      <c r="A28" s="4" t="s">
        <v>34</v>
      </c>
      <c r="B28" s="9">
        <v>44256</v>
      </c>
      <c r="C28" s="2">
        <v>144.1</v>
      </c>
      <c r="D28" s="2">
        <v>192.2</v>
      </c>
      <c r="E28" s="2">
        <v>163.80000000000001</v>
      </c>
      <c r="F28" s="2">
        <v>154.9</v>
      </c>
      <c r="G28" s="2">
        <v>163.9</v>
      </c>
      <c r="H28" s="2">
        <v>153.69999999999999</v>
      </c>
      <c r="I28" s="2">
        <v>149.5</v>
      </c>
      <c r="J28" s="2">
        <v>159.80000000000001</v>
      </c>
      <c r="K28" s="2">
        <v>112.6</v>
      </c>
      <c r="L28" s="2">
        <v>163.5</v>
      </c>
      <c r="M28" s="2">
        <v>156.5</v>
      </c>
      <c r="N28" s="16">
        <v>168.2</v>
      </c>
      <c r="O28" s="2">
        <v>156.69999999999999</v>
      </c>
      <c r="P28" s="2">
        <v>188.1</v>
      </c>
      <c r="Q28" s="2">
        <v>157.80000000000001</v>
      </c>
      <c r="R28" s="2">
        <v>147.9</v>
      </c>
      <c r="S28" s="2">
        <v>156.4</v>
      </c>
      <c r="T28" s="2">
        <v>159.9</v>
      </c>
      <c r="U28" s="2">
        <v>155.5</v>
      </c>
      <c r="V28" s="2">
        <v>151.19999999999999</v>
      </c>
      <c r="W28" s="2">
        <v>161.69999999999999</v>
      </c>
      <c r="X28" s="2">
        <v>146.19999999999999</v>
      </c>
      <c r="Y28" s="2">
        <v>152.6</v>
      </c>
      <c r="Z28" s="2">
        <v>160.19999999999999</v>
      </c>
      <c r="AA28" s="2">
        <v>153.80000000000001</v>
      </c>
      <c r="AB28" s="2">
        <v>153.80000000000001</v>
      </c>
      <c r="AC28" s="2">
        <v>156.80000000000001</v>
      </c>
      <c r="AD28" s="2">
        <v>3</v>
      </c>
      <c r="AF28" s="11">
        <f t="shared" si="0"/>
        <v>156.89166666666665</v>
      </c>
      <c r="AG28" s="13">
        <f t="shared" si="3"/>
        <v>7.7984540509590472E-2</v>
      </c>
      <c r="AH28" s="13">
        <f t="shared" si="4"/>
        <v>6.1720288903479803E-2</v>
      </c>
      <c r="AI28" s="11">
        <f t="shared" si="1"/>
        <v>155.53333333333333</v>
      </c>
      <c r="AJ28" s="13">
        <f t="shared" si="5"/>
        <v>3.734993330369063E-2</v>
      </c>
      <c r="AK28" s="13">
        <f t="shared" si="2"/>
        <v>5.5181695827725585E-2</v>
      </c>
    </row>
    <row r="30" spans="1:37" x14ac:dyDescent="0.35">
      <c r="AF30" t="s">
        <v>66</v>
      </c>
      <c r="AG30" s="13" t="s">
        <v>79</v>
      </c>
      <c r="AH30" s="13" t="s">
        <v>80</v>
      </c>
      <c r="AI30" t="s">
        <v>81</v>
      </c>
      <c r="AJ30" s="13"/>
    </row>
    <row r="31" spans="1:37" x14ac:dyDescent="0.35">
      <c r="AF31" t="s">
        <v>77</v>
      </c>
      <c r="AG31">
        <v>146.19999999999999</v>
      </c>
      <c r="AH31" s="11">
        <v>154.81666666666666</v>
      </c>
      <c r="AI31" s="11">
        <v>8.6166666666666742</v>
      </c>
    </row>
    <row r="32" spans="1:37" x14ac:dyDescent="0.35">
      <c r="AF32" t="s">
        <v>51</v>
      </c>
      <c r="AG32" s="11">
        <v>143.27708333333334</v>
      </c>
      <c r="AH32" s="11">
        <v>155.39555555555555</v>
      </c>
      <c r="AI32" s="11">
        <v>12.118472222222209</v>
      </c>
    </row>
    <row r="33" spans="6:35" x14ac:dyDescent="0.35">
      <c r="AF33" t="s">
        <v>23</v>
      </c>
      <c r="AG33" s="11">
        <v>149.23333333333335</v>
      </c>
      <c r="AH33" s="11">
        <v>155.51818181818183</v>
      </c>
      <c r="AI33" s="11">
        <v>6.2848484848484816</v>
      </c>
    </row>
    <row r="34" spans="6:35" x14ac:dyDescent="0.35">
      <c r="AF34" t="s">
        <v>78</v>
      </c>
      <c r="AG34" s="11">
        <v>146.40555555555559</v>
      </c>
      <c r="AH34" s="11">
        <v>149.79444444444448</v>
      </c>
      <c r="AI34" s="11">
        <v>3.3888888888888857</v>
      </c>
    </row>
    <row r="35" spans="6:35" x14ac:dyDescent="0.35">
      <c r="F35" t="s">
        <v>66</v>
      </c>
      <c r="G35" t="s">
        <v>79</v>
      </c>
      <c r="H35" t="s">
        <v>80</v>
      </c>
      <c r="I35" t="s">
        <v>81</v>
      </c>
    </row>
    <row r="36" spans="6:35" x14ac:dyDescent="0.35">
      <c r="F36" t="s">
        <v>77</v>
      </c>
      <c r="G36" s="11">
        <f>AVERAGE(AC5:AC16)</f>
        <v>146.19999999999999</v>
      </c>
      <c r="H36">
        <f>AVERAGE(AC17:AC28)</f>
        <v>154.81666666666666</v>
      </c>
      <c r="I36" s="11">
        <f>H36-G36</f>
        <v>8.6166666666666742</v>
      </c>
    </row>
    <row r="37" spans="6:35" x14ac:dyDescent="0.35">
      <c r="F37" t="s">
        <v>51</v>
      </c>
      <c r="G37" s="11">
        <f>AVERAGE(AF5:AF16)</f>
        <v>143.27708333333334</v>
      </c>
      <c r="H37" s="11">
        <f>AVERAGE(AF17:AF28)</f>
        <v>155.39555555555555</v>
      </c>
      <c r="I37" s="11">
        <f t="shared" ref="I37:I39" si="6">H37-G37</f>
        <v>12.118472222222209</v>
      </c>
    </row>
    <row r="38" spans="6:35" x14ac:dyDescent="0.35">
      <c r="F38" t="s">
        <v>23</v>
      </c>
      <c r="G38" s="11">
        <f>AVERAGE(W5:W16)</f>
        <v>149.23333333333335</v>
      </c>
      <c r="H38">
        <f>AVERAGE(T18:T28)</f>
        <v>155.51818181818183</v>
      </c>
      <c r="I38" s="11">
        <f t="shared" si="6"/>
        <v>6.2848484848484816</v>
      </c>
    </row>
    <row r="39" spans="6:35" x14ac:dyDescent="0.35">
      <c r="F39" t="s">
        <v>78</v>
      </c>
      <c r="G39" s="11">
        <f>AVERAGE(AI5:AI16)</f>
        <v>146.40555555555559</v>
      </c>
      <c r="H39" s="11">
        <f>AVERAGE(AI17:AI28)</f>
        <v>149.79444444444448</v>
      </c>
      <c r="I39" s="11">
        <f t="shared" si="6"/>
        <v>3.3888888888888857</v>
      </c>
    </row>
    <row r="45" spans="6:35" ht="14.5" customHeight="1" x14ac:dyDescent="0.35"/>
  </sheetData>
  <autoFilter ref="AF4:AK28" xr:uid="{841B1EB0-00A1-412B-AC3C-02B00609BC53}"/>
  <mergeCells count="2">
    <mergeCell ref="A2:K2"/>
    <mergeCell ref="B1:J1"/>
  </mergeCells>
  <pageMargins left="0.7" right="0.7" top="0.75" bottom="0.75" header="0.3" footer="0.3"/>
  <ignoredErrors>
    <ignoredError sqref="AF5 AF6:AF28 AI5:AI28" formulaRange="1"/>
  </ignoredErrors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4857-4F5C-4B93-8DDC-2E6E6129524A}">
  <dimension ref="A1:AL41"/>
  <sheetViews>
    <sheetView topLeftCell="A21" zoomScale="95" zoomScaleNormal="95" workbookViewId="0">
      <selection activeCell="G44" sqref="G44"/>
    </sheetView>
  </sheetViews>
  <sheetFormatPr defaultRowHeight="14.5" x14ac:dyDescent="0.35"/>
  <cols>
    <col min="6" max="6" width="14.26953125" bestFit="1" customWidth="1"/>
    <col min="7" max="7" width="17.54296875" bestFit="1" customWidth="1"/>
    <col min="18" max="18" width="8.08984375" bestFit="1" customWidth="1"/>
    <col min="20" max="20" width="20.1796875" bestFit="1" customWidth="1"/>
    <col min="32" max="32" width="9.453125" bestFit="1" customWidth="1"/>
    <col min="33" max="33" width="11.26953125" bestFit="1" customWidth="1"/>
    <col min="34" max="34" width="12.453125" bestFit="1" customWidth="1"/>
    <col min="35" max="35" width="16.36328125" bestFit="1" customWidth="1"/>
    <col min="36" max="36" width="15.453125" bestFit="1" customWidth="1"/>
    <col min="37" max="37" width="14.08984375" bestFit="1" customWidth="1"/>
    <col min="38" max="38" width="15.08984375" bestFit="1" customWidth="1"/>
  </cols>
  <sheetData>
    <row r="1" spans="1:38" x14ac:dyDescent="0.35">
      <c r="A1" s="43" t="s">
        <v>114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38" x14ac:dyDescent="0.3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4" spans="1:38" x14ac:dyDescent="0.35">
      <c r="A4" s="6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49</v>
      </c>
      <c r="AF4" s="10" t="s">
        <v>50</v>
      </c>
      <c r="AG4" s="18" t="s">
        <v>82</v>
      </c>
      <c r="AH4" s="18" t="s">
        <v>83</v>
      </c>
      <c r="AI4" s="18" t="s">
        <v>84</v>
      </c>
      <c r="AJ4" s="18" t="s">
        <v>85</v>
      </c>
      <c r="AK4" s="18" t="s">
        <v>86</v>
      </c>
      <c r="AL4" s="18" t="s">
        <v>87</v>
      </c>
    </row>
    <row r="5" spans="1:38" x14ac:dyDescent="0.35">
      <c r="A5" s="5" t="s">
        <v>34</v>
      </c>
      <c r="B5" s="3">
        <v>2021</v>
      </c>
      <c r="C5" s="3" t="s">
        <v>31</v>
      </c>
      <c r="D5" s="3">
        <v>144.9</v>
      </c>
      <c r="E5" s="3">
        <v>190.1</v>
      </c>
      <c r="F5" s="3">
        <v>175.3</v>
      </c>
      <c r="G5" s="3">
        <v>154.1</v>
      </c>
      <c r="H5" s="3">
        <v>150.9</v>
      </c>
      <c r="I5" s="3">
        <v>149.6</v>
      </c>
      <c r="J5" s="3">
        <v>194.2</v>
      </c>
      <c r="K5" s="3">
        <v>160.4</v>
      </c>
      <c r="L5" s="3">
        <v>114.6</v>
      </c>
      <c r="M5" s="3">
        <v>164</v>
      </c>
      <c r="N5" s="3">
        <v>151.80000000000001</v>
      </c>
      <c r="O5" s="3">
        <v>165.6</v>
      </c>
      <c r="P5" s="3">
        <v>161</v>
      </c>
      <c r="Q5" s="3">
        <v>186.5</v>
      </c>
      <c r="R5" s="3">
        <v>155.5</v>
      </c>
      <c r="S5" s="3">
        <v>146.1</v>
      </c>
      <c r="T5" s="3">
        <v>154.19999999999999</v>
      </c>
      <c r="U5" s="3">
        <v>157.69999999999999</v>
      </c>
      <c r="V5" s="3">
        <v>147.9</v>
      </c>
      <c r="W5" s="3">
        <v>150</v>
      </c>
      <c r="X5" s="3">
        <v>159.30000000000001</v>
      </c>
      <c r="Y5" s="3">
        <v>141.9</v>
      </c>
      <c r="Z5" s="3">
        <v>149.6</v>
      </c>
      <c r="AA5" s="3">
        <v>159.19999999999999</v>
      </c>
      <c r="AB5" s="3">
        <v>156.80000000000001</v>
      </c>
      <c r="AC5" s="3">
        <v>151.9</v>
      </c>
      <c r="AD5" s="3">
        <v>157.30000000000001</v>
      </c>
      <c r="AE5" s="3">
        <v>1</v>
      </c>
      <c r="AF5" s="8">
        <v>44197</v>
      </c>
    </row>
    <row r="6" spans="1:38" x14ac:dyDescent="0.35">
      <c r="A6" s="4" t="s">
        <v>34</v>
      </c>
      <c r="B6" s="2">
        <v>2021</v>
      </c>
      <c r="C6" s="2" t="s">
        <v>35</v>
      </c>
      <c r="D6" s="2">
        <v>144.30000000000001</v>
      </c>
      <c r="E6" s="2">
        <v>186.5</v>
      </c>
      <c r="F6" s="2">
        <v>168.7</v>
      </c>
      <c r="G6" s="2">
        <v>154.69999999999999</v>
      </c>
      <c r="H6" s="2">
        <v>158.69999999999999</v>
      </c>
      <c r="I6" s="2">
        <v>150.69999999999999</v>
      </c>
      <c r="J6" s="2">
        <v>160</v>
      </c>
      <c r="K6" s="2">
        <v>158.80000000000001</v>
      </c>
      <c r="L6" s="2">
        <v>112.8</v>
      </c>
      <c r="M6" s="2">
        <v>164.2</v>
      </c>
      <c r="N6" s="2">
        <v>155.5</v>
      </c>
      <c r="O6" s="2">
        <v>167.5</v>
      </c>
      <c r="P6" s="2">
        <v>156.9</v>
      </c>
      <c r="Q6" s="2">
        <v>188.3</v>
      </c>
      <c r="R6" s="2">
        <v>157.19999999999999</v>
      </c>
      <c r="S6" s="2">
        <v>147.4</v>
      </c>
      <c r="T6" s="2">
        <v>155.80000000000001</v>
      </c>
      <c r="U6" s="2">
        <v>159.80000000000001</v>
      </c>
      <c r="V6" s="2">
        <v>152.4</v>
      </c>
      <c r="W6" s="2">
        <v>150.9</v>
      </c>
      <c r="X6" s="2">
        <v>161.30000000000001</v>
      </c>
      <c r="Y6" s="2">
        <v>145.1</v>
      </c>
      <c r="Z6" s="2">
        <v>151.5</v>
      </c>
      <c r="AA6" s="2">
        <v>159.5</v>
      </c>
      <c r="AB6" s="2">
        <v>155.80000000000001</v>
      </c>
      <c r="AC6" s="2">
        <v>153.4</v>
      </c>
      <c r="AD6" s="2">
        <v>156.6</v>
      </c>
      <c r="AE6" s="2">
        <v>2</v>
      </c>
      <c r="AF6" s="9">
        <v>44228</v>
      </c>
      <c r="AG6" s="13">
        <f>(V6/V5)-1</f>
        <v>3.0425963488843744E-2</v>
      </c>
      <c r="AH6" s="13">
        <f>(P6/P5)-1</f>
        <v>-2.5465838509316718E-2</v>
      </c>
      <c r="AI6" s="13">
        <f>(Y6/Y5)-1</f>
        <v>2.2551092318534138E-2</v>
      </c>
      <c r="AJ6" s="13">
        <f>(T6/T5)-1</f>
        <v>1.0376134889753752E-2</v>
      </c>
      <c r="AK6" s="13">
        <f>(X6/X5)-1</f>
        <v>1.2554927809165006E-2</v>
      </c>
      <c r="AL6" s="13">
        <f>(AD6/AD5)-1</f>
        <v>-4.4500953591863901E-3</v>
      </c>
    </row>
    <row r="7" spans="1:38" x14ac:dyDescent="0.35">
      <c r="A7" s="5" t="s">
        <v>34</v>
      </c>
      <c r="B7" s="3">
        <v>2021</v>
      </c>
      <c r="C7" s="3" t="s">
        <v>36</v>
      </c>
      <c r="D7" s="3">
        <v>144.1</v>
      </c>
      <c r="E7" s="3">
        <v>192.2</v>
      </c>
      <c r="F7" s="3">
        <v>163.80000000000001</v>
      </c>
      <c r="G7" s="3">
        <v>154.9</v>
      </c>
      <c r="H7" s="3">
        <v>163.9</v>
      </c>
      <c r="I7" s="3">
        <v>153.69999999999999</v>
      </c>
      <c r="J7" s="3">
        <v>149.5</v>
      </c>
      <c r="K7" s="3">
        <v>159.80000000000001</v>
      </c>
      <c r="L7" s="3">
        <v>112.6</v>
      </c>
      <c r="M7" s="3">
        <v>163.5</v>
      </c>
      <c r="N7" s="3">
        <v>156.5</v>
      </c>
      <c r="O7" s="3">
        <v>168.2</v>
      </c>
      <c r="P7" s="3">
        <v>156.69999999999999</v>
      </c>
      <c r="Q7" s="3">
        <v>188.1</v>
      </c>
      <c r="R7" s="3">
        <v>157.80000000000001</v>
      </c>
      <c r="S7" s="3">
        <v>147.9</v>
      </c>
      <c r="T7" s="3">
        <v>156.4</v>
      </c>
      <c r="U7" s="3">
        <v>159.9</v>
      </c>
      <c r="V7" s="3">
        <v>155.5</v>
      </c>
      <c r="W7" s="3">
        <v>151.19999999999999</v>
      </c>
      <c r="X7" s="3">
        <v>161.69999999999999</v>
      </c>
      <c r="Y7" s="3">
        <v>146.19999999999999</v>
      </c>
      <c r="Z7" s="3">
        <v>152.6</v>
      </c>
      <c r="AA7" s="3">
        <v>160.19999999999999</v>
      </c>
      <c r="AB7" s="3">
        <v>153.80000000000001</v>
      </c>
      <c r="AC7" s="3">
        <v>153.80000000000001</v>
      </c>
      <c r="AD7" s="3">
        <v>156.80000000000001</v>
      </c>
      <c r="AE7" s="3">
        <v>3</v>
      </c>
      <c r="AF7" s="8">
        <v>44256</v>
      </c>
      <c r="AG7" s="13">
        <f t="shared" ref="AG7:AG33" si="0">(V7/V6)-1</f>
        <v>2.0341207349081403E-2</v>
      </c>
      <c r="AH7" s="13">
        <f t="shared" ref="AH7:AH33" si="1">(P7/P6)-1</f>
        <v>-1.274697259400992E-3</v>
      </c>
      <c r="AI7" s="13">
        <f t="shared" ref="AI7:AI33" si="2">(Y7/Y6)-1</f>
        <v>7.5809786354237296E-3</v>
      </c>
      <c r="AJ7" s="13">
        <f t="shared" ref="AJ7:AJ33" si="3">(T7/T6)-1</f>
        <v>3.8510911424902705E-3</v>
      </c>
      <c r="AK7" s="13">
        <f t="shared" ref="AK7:AK33" si="4">(X7/X6)-1</f>
        <v>2.4798512089272418E-3</v>
      </c>
      <c r="AL7" s="13">
        <f t="shared" ref="AL7:AL33" si="5">(AD7/AD6)-1</f>
        <v>1.2771392081738497E-3</v>
      </c>
    </row>
    <row r="8" spans="1:38" x14ac:dyDescent="0.35">
      <c r="A8" s="4" t="s">
        <v>34</v>
      </c>
      <c r="B8" s="2">
        <v>2021</v>
      </c>
      <c r="C8" s="2" t="s">
        <v>37</v>
      </c>
      <c r="D8" s="2">
        <v>144.30000000000001</v>
      </c>
      <c r="E8" s="2">
        <v>198</v>
      </c>
      <c r="F8" s="2">
        <v>164.6</v>
      </c>
      <c r="G8" s="2">
        <v>155.4</v>
      </c>
      <c r="H8" s="2">
        <v>170.1</v>
      </c>
      <c r="I8" s="2">
        <v>164.4</v>
      </c>
      <c r="J8" s="2">
        <v>144.1</v>
      </c>
      <c r="K8" s="2">
        <v>161.69999999999999</v>
      </c>
      <c r="L8" s="2">
        <v>113.1</v>
      </c>
      <c r="M8" s="2">
        <v>163.9</v>
      </c>
      <c r="N8" s="2">
        <v>157.6</v>
      </c>
      <c r="O8" s="2">
        <v>168.9</v>
      </c>
      <c r="P8" s="2">
        <v>158</v>
      </c>
      <c r="Q8" s="2">
        <v>188.8</v>
      </c>
      <c r="R8" s="2">
        <v>158.80000000000001</v>
      </c>
      <c r="S8" s="2">
        <v>148.5</v>
      </c>
      <c r="T8" s="2">
        <v>157.30000000000001</v>
      </c>
      <c r="U8" s="2">
        <v>161.4</v>
      </c>
      <c r="V8" s="2">
        <v>155.6</v>
      </c>
      <c r="W8" s="2">
        <v>151.80000000000001</v>
      </c>
      <c r="X8" s="2">
        <v>162.30000000000001</v>
      </c>
      <c r="Y8" s="2">
        <v>146.6</v>
      </c>
      <c r="Z8" s="2">
        <v>153.19999999999999</v>
      </c>
      <c r="AA8" s="2">
        <v>160.30000000000001</v>
      </c>
      <c r="AB8" s="2">
        <v>155.4</v>
      </c>
      <c r="AC8" s="2">
        <v>154.4</v>
      </c>
      <c r="AD8" s="2">
        <v>157.80000000000001</v>
      </c>
      <c r="AE8" s="2">
        <v>4</v>
      </c>
      <c r="AF8" s="9">
        <v>44287</v>
      </c>
      <c r="AG8" s="13">
        <f t="shared" si="0"/>
        <v>6.430868167202064E-4</v>
      </c>
      <c r="AH8" s="13">
        <f t="shared" si="1"/>
        <v>8.2961072112317513E-3</v>
      </c>
      <c r="AI8" s="13">
        <f t="shared" si="2"/>
        <v>2.7359781121751858E-3</v>
      </c>
      <c r="AJ8" s="13">
        <f t="shared" si="3"/>
        <v>5.7544757033247684E-3</v>
      </c>
      <c r="AK8" s="13">
        <f t="shared" si="4"/>
        <v>3.7105751391466324E-3</v>
      </c>
      <c r="AL8" s="13">
        <f t="shared" si="5"/>
        <v>6.3775510204082675E-3</v>
      </c>
    </row>
    <row r="9" spans="1:38" x14ac:dyDescent="0.35">
      <c r="A9" s="5" t="s">
        <v>34</v>
      </c>
      <c r="B9" s="3">
        <v>2021</v>
      </c>
      <c r="C9" s="3" t="s">
        <v>38</v>
      </c>
      <c r="D9" s="3">
        <v>146.30000000000001</v>
      </c>
      <c r="E9" s="3">
        <v>200.5</v>
      </c>
      <c r="F9" s="3">
        <v>170.3</v>
      </c>
      <c r="G9" s="3">
        <v>156.1</v>
      </c>
      <c r="H9" s="3">
        <v>178.7</v>
      </c>
      <c r="I9" s="3">
        <v>167.1</v>
      </c>
      <c r="J9" s="3">
        <v>147.9</v>
      </c>
      <c r="K9" s="3">
        <v>165.4</v>
      </c>
      <c r="L9" s="3">
        <v>114.8</v>
      </c>
      <c r="M9" s="3">
        <v>168.2</v>
      </c>
      <c r="N9" s="3">
        <v>159.30000000000001</v>
      </c>
      <c r="O9" s="3">
        <v>170.4</v>
      </c>
      <c r="P9" s="3">
        <v>160.69999999999999</v>
      </c>
      <c r="Q9" s="3">
        <v>191.9</v>
      </c>
      <c r="R9" s="3">
        <v>161.80000000000001</v>
      </c>
      <c r="S9" s="3">
        <v>152.1</v>
      </c>
      <c r="T9" s="3">
        <v>160.4</v>
      </c>
      <c r="U9" s="3">
        <v>161.6</v>
      </c>
      <c r="V9" s="3">
        <v>159.4</v>
      </c>
      <c r="W9" s="3">
        <v>154.69999999999999</v>
      </c>
      <c r="X9" s="3">
        <v>165.8</v>
      </c>
      <c r="Y9" s="3">
        <v>148.9</v>
      </c>
      <c r="Z9" s="3">
        <v>155.80000000000001</v>
      </c>
      <c r="AA9" s="3">
        <v>161.19999999999999</v>
      </c>
      <c r="AB9" s="3">
        <v>158.6</v>
      </c>
      <c r="AC9" s="3">
        <v>156.80000000000001</v>
      </c>
      <c r="AD9" s="3">
        <v>160.4</v>
      </c>
      <c r="AE9" s="3">
        <v>5</v>
      </c>
      <c r="AF9" s="8">
        <v>44317</v>
      </c>
      <c r="AG9" s="13">
        <f t="shared" si="0"/>
        <v>2.4421593830334265E-2</v>
      </c>
      <c r="AH9" s="13">
        <f t="shared" si="1"/>
        <v>1.7088607594936578E-2</v>
      </c>
      <c r="AI9" s="13">
        <f t="shared" si="2"/>
        <v>1.568894952251032E-2</v>
      </c>
      <c r="AJ9" s="13">
        <f t="shared" si="3"/>
        <v>1.9707565162110585E-2</v>
      </c>
      <c r="AK9" s="13">
        <f t="shared" si="4"/>
        <v>2.1565003080714629E-2</v>
      </c>
      <c r="AL9" s="13">
        <f t="shared" si="5"/>
        <v>1.6476552598225558E-2</v>
      </c>
    </row>
    <row r="10" spans="1:38" x14ac:dyDescent="0.35">
      <c r="A10" s="4" t="s">
        <v>34</v>
      </c>
      <c r="B10" s="2">
        <v>2021</v>
      </c>
      <c r="C10" s="2" t="s">
        <v>39</v>
      </c>
      <c r="D10" s="2">
        <v>146.69999999999999</v>
      </c>
      <c r="E10" s="2">
        <v>202</v>
      </c>
      <c r="F10" s="2">
        <v>180.7</v>
      </c>
      <c r="G10" s="2">
        <v>156.19999999999999</v>
      </c>
      <c r="H10" s="2">
        <v>183.7</v>
      </c>
      <c r="I10" s="2">
        <v>164.6</v>
      </c>
      <c r="J10" s="2">
        <v>155.4</v>
      </c>
      <c r="K10" s="2">
        <v>166</v>
      </c>
      <c r="L10" s="2">
        <v>115.1</v>
      </c>
      <c r="M10" s="2">
        <v>168.5</v>
      </c>
      <c r="N10" s="2">
        <v>160</v>
      </c>
      <c r="O10" s="2">
        <v>172.4</v>
      </c>
      <c r="P10" s="2">
        <v>162.6</v>
      </c>
      <c r="Q10" s="2">
        <v>190.8</v>
      </c>
      <c r="R10" s="2">
        <v>162.19999999999999</v>
      </c>
      <c r="S10" s="2">
        <v>151.80000000000001</v>
      </c>
      <c r="T10" s="2">
        <v>160.69999999999999</v>
      </c>
      <c r="U10" s="2">
        <v>160.5</v>
      </c>
      <c r="V10" s="2">
        <v>159.80000000000001</v>
      </c>
      <c r="W10" s="2">
        <v>154.80000000000001</v>
      </c>
      <c r="X10" s="2">
        <v>166.3</v>
      </c>
      <c r="Y10" s="2">
        <v>150.69999999999999</v>
      </c>
      <c r="Z10" s="2">
        <v>154.9</v>
      </c>
      <c r="AA10" s="2">
        <v>161.69999999999999</v>
      </c>
      <c r="AB10" s="2">
        <v>158.80000000000001</v>
      </c>
      <c r="AC10" s="2">
        <v>157.6</v>
      </c>
      <c r="AD10" s="2">
        <v>161.30000000000001</v>
      </c>
      <c r="AE10" s="2">
        <v>6</v>
      </c>
      <c r="AF10" s="9">
        <v>44348</v>
      </c>
      <c r="AG10" s="13">
        <f t="shared" si="0"/>
        <v>2.5094102885823144E-3</v>
      </c>
      <c r="AH10" s="13">
        <f t="shared" si="1"/>
        <v>1.1823273179838223E-2</v>
      </c>
      <c r="AI10" s="13">
        <f t="shared" si="2"/>
        <v>1.2088650100738674E-2</v>
      </c>
      <c r="AJ10" s="13">
        <f t="shared" si="3"/>
        <v>1.8703241895261513E-3</v>
      </c>
      <c r="AK10" s="13">
        <f t="shared" si="4"/>
        <v>3.0156815440289808E-3</v>
      </c>
      <c r="AL10" s="13">
        <f t="shared" si="5"/>
        <v>5.610972568578676E-3</v>
      </c>
    </row>
    <row r="11" spans="1:38" x14ac:dyDescent="0.35">
      <c r="A11" s="5" t="s">
        <v>34</v>
      </c>
      <c r="B11" s="3">
        <v>2021</v>
      </c>
      <c r="C11" s="3" t="s">
        <v>40</v>
      </c>
      <c r="D11" s="3">
        <v>146.4</v>
      </c>
      <c r="E11" s="3">
        <v>206.8</v>
      </c>
      <c r="F11" s="3">
        <v>182.2</v>
      </c>
      <c r="G11" s="3">
        <v>157.5</v>
      </c>
      <c r="H11" s="3">
        <v>182.1</v>
      </c>
      <c r="I11" s="3">
        <v>163.9</v>
      </c>
      <c r="J11" s="3">
        <v>164.2</v>
      </c>
      <c r="K11" s="3">
        <v>164</v>
      </c>
      <c r="L11" s="3">
        <v>114.5</v>
      </c>
      <c r="M11" s="3">
        <v>168.3</v>
      </c>
      <c r="N11" s="3">
        <v>160.9</v>
      </c>
      <c r="O11" s="3">
        <v>172.2</v>
      </c>
      <c r="P11" s="3">
        <v>164</v>
      </c>
      <c r="Q11" s="3">
        <v>191.2</v>
      </c>
      <c r="R11" s="3">
        <v>162.80000000000001</v>
      </c>
      <c r="S11" s="3">
        <v>153.1</v>
      </c>
      <c r="T11" s="3">
        <v>161.4</v>
      </c>
      <c r="U11" s="3">
        <v>161.5</v>
      </c>
      <c r="V11" s="3">
        <v>160.69999999999999</v>
      </c>
      <c r="W11" s="3">
        <v>155.80000000000001</v>
      </c>
      <c r="X11" s="3">
        <v>167</v>
      </c>
      <c r="Y11" s="3">
        <v>153.1</v>
      </c>
      <c r="Z11" s="3">
        <v>155.30000000000001</v>
      </c>
      <c r="AA11" s="3">
        <v>163.19999999999999</v>
      </c>
      <c r="AB11" s="3">
        <v>160.1</v>
      </c>
      <c r="AC11" s="3">
        <v>159</v>
      </c>
      <c r="AD11" s="3">
        <v>162.5</v>
      </c>
      <c r="AE11" s="3">
        <v>7</v>
      </c>
      <c r="AF11" s="8">
        <v>44378</v>
      </c>
      <c r="AG11" s="13">
        <f t="shared" si="0"/>
        <v>5.632040050062459E-3</v>
      </c>
      <c r="AH11" s="13">
        <f t="shared" si="1"/>
        <v>8.610086100861114E-3</v>
      </c>
      <c r="AI11" s="13">
        <f t="shared" si="2"/>
        <v>1.5925680159256883E-2</v>
      </c>
      <c r="AJ11" s="13">
        <f t="shared" si="3"/>
        <v>4.3559427504669124E-3</v>
      </c>
      <c r="AK11" s="13">
        <f t="shared" si="4"/>
        <v>4.2092603728201006E-3</v>
      </c>
      <c r="AL11" s="13">
        <f t="shared" si="5"/>
        <v>7.4395536267823914E-3</v>
      </c>
    </row>
    <row r="12" spans="1:38" x14ac:dyDescent="0.35">
      <c r="A12" s="4" t="s">
        <v>34</v>
      </c>
      <c r="B12" s="2">
        <v>2021</v>
      </c>
      <c r="C12" s="2" t="s">
        <v>41</v>
      </c>
      <c r="D12" s="2">
        <v>146.6</v>
      </c>
      <c r="E12" s="2">
        <v>204</v>
      </c>
      <c r="F12" s="2">
        <v>172.8</v>
      </c>
      <c r="G12" s="2">
        <v>158.4</v>
      </c>
      <c r="H12" s="2">
        <v>188</v>
      </c>
      <c r="I12" s="2">
        <v>156.80000000000001</v>
      </c>
      <c r="J12" s="2">
        <v>162.19999999999999</v>
      </c>
      <c r="K12" s="2">
        <v>164.1</v>
      </c>
      <c r="L12" s="2">
        <v>119.7</v>
      </c>
      <c r="M12" s="2">
        <v>168.8</v>
      </c>
      <c r="N12" s="2">
        <v>162.69999999999999</v>
      </c>
      <c r="O12" s="2">
        <v>173.9</v>
      </c>
      <c r="P12" s="2">
        <v>164</v>
      </c>
      <c r="Q12" s="2">
        <v>192.1</v>
      </c>
      <c r="R12" s="2">
        <v>164.5</v>
      </c>
      <c r="S12" s="2">
        <v>155.30000000000001</v>
      </c>
      <c r="T12" s="2">
        <v>163.19999999999999</v>
      </c>
      <c r="U12" s="2">
        <v>162.1</v>
      </c>
      <c r="V12" s="2">
        <v>162.6</v>
      </c>
      <c r="W12" s="2">
        <v>157.5</v>
      </c>
      <c r="X12" s="2">
        <v>168.4</v>
      </c>
      <c r="Y12" s="2">
        <v>154</v>
      </c>
      <c r="Z12" s="2">
        <v>157.6</v>
      </c>
      <c r="AA12" s="2">
        <v>163.80000000000001</v>
      </c>
      <c r="AB12" s="2">
        <v>160</v>
      </c>
      <c r="AC12" s="2">
        <v>160</v>
      </c>
      <c r="AD12" s="2">
        <v>163.19999999999999</v>
      </c>
      <c r="AE12" s="2">
        <v>8</v>
      </c>
      <c r="AF12" s="9">
        <v>44409</v>
      </c>
      <c r="AG12" s="13">
        <f t="shared" si="0"/>
        <v>1.1823273179838223E-2</v>
      </c>
      <c r="AH12" s="13">
        <f t="shared" si="1"/>
        <v>0</v>
      </c>
      <c r="AI12" s="13">
        <f t="shared" si="2"/>
        <v>5.878510777269863E-3</v>
      </c>
      <c r="AJ12" s="13">
        <f t="shared" si="3"/>
        <v>1.1152416356877248E-2</v>
      </c>
      <c r="AK12" s="13">
        <f t="shared" si="4"/>
        <v>8.3832335329341312E-3</v>
      </c>
      <c r="AL12" s="13">
        <f t="shared" si="5"/>
        <v>4.3076923076923457E-3</v>
      </c>
    </row>
    <row r="13" spans="1:38" x14ac:dyDescent="0.35">
      <c r="A13" s="5" t="s">
        <v>34</v>
      </c>
      <c r="B13" s="3">
        <v>2021</v>
      </c>
      <c r="C13" s="3" t="s">
        <v>42</v>
      </c>
      <c r="D13" s="3">
        <v>146.6</v>
      </c>
      <c r="E13" s="3">
        <v>204</v>
      </c>
      <c r="F13" s="3">
        <v>172.8</v>
      </c>
      <c r="G13" s="3">
        <v>158.4</v>
      </c>
      <c r="H13" s="3">
        <v>188</v>
      </c>
      <c r="I13" s="3">
        <v>156.69999999999999</v>
      </c>
      <c r="J13" s="3">
        <v>162.30000000000001</v>
      </c>
      <c r="K13" s="3">
        <v>164.1</v>
      </c>
      <c r="L13" s="3">
        <v>119.7</v>
      </c>
      <c r="M13" s="3">
        <v>168.8</v>
      </c>
      <c r="N13" s="3">
        <v>162.69999999999999</v>
      </c>
      <c r="O13" s="3">
        <v>173.9</v>
      </c>
      <c r="P13" s="3">
        <v>164</v>
      </c>
      <c r="Q13" s="3">
        <v>192.1</v>
      </c>
      <c r="R13" s="3">
        <v>164.6</v>
      </c>
      <c r="S13" s="3">
        <v>155.30000000000001</v>
      </c>
      <c r="T13" s="3">
        <v>163.30000000000001</v>
      </c>
      <c r="U13" s="3">
        <v>162.1</v>
      </c>
      <c r="V13" s="3">
        <v>162.6</v>
      </c>
      <c r="W13" s="3">
        <v>157.5</v>
      </c>
      <c r="X13" s="3">
        <v>168.4</v>
      </c>
      <c r="Y13" s="3">
        <v>154</v>
      </c>
      <c r="Z13" s="3">
        <v>157.69999999999999</v>
      </c>
      <c r="AA13" s="3">
        <v>163.69999999999999</v>
      </c>
      <c r="AB13" s="3">
        <v>160</v>
      </c>
      <c r="AC13" s="3">
        <v>160</v>
      </c>
      <c r="AD13" s="3">
        <v>163.19999999999999</v>
      </c>
      <c r="AE13" s="3">
        <v>9</v>
      </c>
      <c r="AF13" s="8">
        <v>44440</v>
      </c>
      <c r="AG13" s="13">
        <f t="shared" si="0"/>
        <v>0</v>
      </c>
      <c r="AH13" s="13">
        <f t="shared" si="1"/>
        <v>0</v>
      </c>
      <c r="AI13" s="13">
        <f t="shared" si="2"/>
        <v>0</v>
      </c>
      <c r="AJ13" s="13">
        <f t="shared" si="3"/>
        <v>6.1274509803932453E-4</v>
      </c>
      <c r="AK13" s="13">
        <f t="shared" si="4"/>
        <v>0</v>
      </c>
      <c r="AL13" s="13">
        <f t="shared" si="5"/>
        <v>0</v>
      </c>
    </row>
    <row r="14" spans="1:38" x14ac:dyDescent="0.35">
      <c r="A14" s="4" t="s">
        <v>34</v>
      </c>
      <c r="B14" s="2">
        <v>2021</v>
      </c>
      <c r="C14" s="2" t="s">
        <v>43</v>
      </c>
      <c r="D14" s="2">
        <v>147.4</v>
      </c>
      <c r="E14" s="2">
        <v>204.6</v>
      </c>
      <c r="F14" s="2">
        <v>171.2</v>
      </c>
      <c r="G14" s="2">
        <v>158.69999999999999</v>
      </c>
      <c r="H14" s="2">
        <v>190.6</v>
      </c>
      <c r="I14" s="2">
        <v>155.69999999999999</v>
      </c>
      <c r="J14" s="2">
        <v>185.3</v>
      </c>
      <c r="K14" s="2">
        <v>165.2</v>
      </c>
      <c r="L14" s="2">
        <v>121.9</v>
      </c>
      <c r="M14" s="2">
        <v>169.3</v>
      </c>
      <c r="N14" s="2">
        <v>163.19999999999999</v>
      </c>
      <c r="O14" s="2">
        <v>174.7</v>
      </c>
      <c r="P14" s="2">
        <v>167.7</v>
      </c>
      <c r="Q14" s="2">
        <v>192.7</v>
      </c>
      <c r="R14" s="2">
        <v>165.7</v>
      </c>
      <c r="S14" s="2">
        <v>156.30000000000001</v>
      </c>
      <c r="T14" s="2">
        <v>164.3</v>
      </c>
      <c r="U14" s="2">
        <v>163.6</v>
      </c>
      <c r="V14" s="2">
        <v>164.2</v>
      </c>
      <c r="W14" s="2">
        <v>158.4</v>
      </c>
      <c r="X14" s="2">
        <v>169.1</v>
      </c>
      <c r="Y14" s="2">
        <v>155.69999999999999</v>
      </c>
      <c r="Z14" s="2">
        <v>158.6</v>
      </c>
      <c r="AA14" s="2">
        <v>163.9</v>
      </c>
      <c r="AB14" s="2">
        <v>160.80000000000001</v>
      </c>
      <c r="AC14" s="2">
        <v>161</v>
      </c>
      <c r="AD14" s="2">
        <v>165.5</v>
      </c>
      <c r="AE14" s="2">
        <v>10</v>
      </c>
      <c r="AF14" s="9">
        <v>44470</v>
      </c>
      <c r="AG14" s="13">
        <f t="shared" si="0"/>
        <v>9.8400984009838766E-3</v>
      </c>
      <c r="AH14" s="13">
        <f t="shared" si="1"/>
        <v>2.2560975609756007E-2</v>
      </c>
      <c r="AI14" s="13">
        <f t="shared" si="2"/>
        <v>1.1038961038960959E-2</v>
      </c>
      <c r="AJ14" s="13">
        <f t="shared" si="3"/>
        <v>6.1236987140231847E-3</v>
      </c>
      <c r="AK14" s="13">
        <f t="shared" si="4"/>
        <v>4.1567695961994833E-3</v>
      </c>
      <c r="AL14" s="13">
        <f t="shared" si="5"/>
        <v>1.4093137254902022E-2</v>
      </c>
    </row>
    <row r="15" spans="1:38" x14ac:dyDescent="0.35">
      <c r="A15" s="5" t="s">
        <v>34</v>
      </c>
      <c r="B15" s="3">
        <v>2021</v>
      </c>
      <c r="C15" s="3" t="s">
        <v>45</v>
      </c>
      <c r="D15" s="3">
        <v>148.19999999999999</v>
      </c>
      <c r="E15" s="3">
        <v>201.6</v>
      </c>
      <c r="F15" s="3">
        <v>173</v>
      </c>
      <c r="G15" s="3">
        <v>159.30000000000001</v>
      </c>
      <c r="H15" s="3">
        <v>190.1</v>
      </c>
      <c r="I15" s="3">
        <v>156.5</v>
      </c>
      <c r="J15" s="3">
        <v>199.2</v>
      </c>
      <c r="K15" s="3">
        <v>165.3</v>
      </c>
      <c r="L15" s="3">
        <v>122.4</v>
      </c>
      <c r="M15" s="3">
        <v>169.6</v>
      </c>
      <c r="N15" s="3">
        <v>163.69999999999999</v>
      </c>
      <c r="O15" s="3">
        <v>175.5</v>
      </c>
      <c r="P15" s="3">
        <v>169.7</v>
      </c>
      <c r="Q15" s="3">
        <v>192.9</v>
      </c>
      <c r="R15" s="3">
        <v>167.2</v>
      </c>
      <c r="S15" s="3">
        <v>157.4</v>
      </c>
      <c r="T15" s="3">
        <v>165.8</v>
      </c>
      <c r="U15" s="3">
        <v>164.2</v>
      </c>
      <c r="V15" s="3">
        <v>163.9</v>
      </c>
      <c r="W15" s="3">
        <v>159.30000000000001</v>
      </c>
      <c r="X15" s="3">
        <v>169.9</v>
      </c>
      <c r="Y15" s="3">
        <v>154.80000000000001</v>
      </c>
      <c r="Z15" s="3">
        <v>159.80000000000001</v>
      </c>
      <c r="AA15" s="3">
        <v>164.3</v>
      </c>
      <c r="AB15" s="3">
        <v>162.19999999999999</v>
      </c>
      <c r="AC15" s="3">
        <v>161.4</v>
      </c>
      <c r="AD15" s="3">
        <v>166.7</v>
      </c>
      <c r="AE15" s="3">
        <v>11</v>
      </c>
      <c r="AF15" s="8">
        <v>44501</v>
      </c>
      <c r="AG15" s="13">
        <f t="shared" si="0"/>
        <v>-1.8270401948842219E-3</v>
      </c>
      <c r="AH15" s="13">
        <f t="shared" si="1"/>
        <v>1.1926058437686349E-2</v>
      </c>
      <c r="AI15" s="13">
        <f t="shared" si="2"/>
        <v>-5.7803468208090791E-3</v>
      </c>
      <c r="AJ15" s="13">
        <f t="shared" si="3"/>
        <v>9.1296409007912693E-3</v>
      </c>
      <c r="AK15" s="13">
        <f t="shared" si="4"/>
        <v>4.7309284447072386E-3</v>
      </c>
      <c r="AL15" s="13">
        <f t="shared" si="5"/>
        <v>7.2507552870089143E-3</v>
      </c>
    </row>
    <row r="16" spans="1:38" x14ac:dyDescent="0.35">
      <c r="A16" s="4" t="s">
        <v>34</v>
      </c>
      <c r="B16" s="2">
        <v>2021</v>
      </c>
      <c r="C16" s="2" t="s">
        <v>46</v>
      </c>
      <c r="D16" s="2">
        <v>148.69999999999999</v>
      </c>
      <c r="E16" s="2">
        <v>198.8</v>
      </c>
      <c r="F16" s="2">
        <v>177.9</v>
      </c>
      <c r="G16" s="2">
        <v>159.9</v>
      </c>
      <c r="H16" s="2">
        <v>187.6</v>
      </c>
      <c r="I16" s="2">
        <v>154.9</v>
      </c>
      <c r="J16" s="2">
        <v>188.3</v>
      </c>
      <c r="K16" s="2">
        <v>164.4</v>
      </c>
      <c r="L16" s="2">
        <v>121</v>
      </c>
      <c r="M16" s="2">
        <v>170.5</v>
      </c>
      <c r="N16" s="2">
        <v>164.2</v>
      </c>
      <c r="O16" s="2">
        <v>176.5</v>
      </c>
      <c r="P16" s="2">
        <v>168.2</v>
      </c>
      <c r="Q16" s="2">
        <v>192.4</v>
      </c>
      <c r="R16" s="2">
        <v>168.5</v>
      </c>
      <c r="S16" s="2">
        <v>158.69999999999999</v>
      </c>
      <c r="T16" s="2">
        <v>167</v>
      </c>
      <c r="U16" s="2">
        <v>163.4</v>
      </c>
      <c r="V16" s="2">
        <v>164.1</v>
      </c>
      <c r="W16" s="2">
        <v>160.19999999999999</v>
      </c>
      <c r="X16" s="2">
        <v>170.6</v>
      </c>
      <c r="Y16" s="2">
        <v>155.69999999999999</v>
      </c>
      <c r="Z16" s="2">
        <v>160.6</v>
      </c>
      <c r="AA16" s="2">
        <v>164.4</v>
      </c>
      <c r="AB16" s="2">
        <v>162.6</v>
      </c>
      <c r="AC16" s="2">
        <v>162</v>
      </c>
      <c r="AD16" s="2">
        <v>166.2</v>
      </c>
      <c r="AE16" s="2">
        <v>12</v>
      </c>
      <c r="AF16" s="9">
        <v>44531</v>
      </c>
      <c r="AG16" s="13">
        <f t="shared" si="0"/>
        <v>1.2202562538132788E-3</v>
      </c>
      <c r="AH16" s="13">
        <f t="shared" si="1"/>
        <v>-8.8391278727165679E-3</v>
      </c>
      <c r="AI16" s="13">
        <f t="shared" si="2"/>
        <v>5.8139534883718813E-3</v>
      </c>
      <c r="AJ16" s="13">
        <f t="shared" si="3"/>
        <v>7.2376357056693763E-3</v>
      </c>
      <c r="AK16" s="13">
        <f t="shared" si="4"/>
        <v>4.1200706297821466E-3</v>
      </c>
      <c r="AL16" s="13">
        <f t="shared" si="5"/>
        <v>-2.9994001199760145E-3</v>
      </c>
    </row>
    <row r="17" spans="1:38" x14ac:dyDescent="0.35">
      <c r="A17" s="5" t="s">
        <v>34</v>
      </c>
      <c r="B17" s="3">
        <v>2022</v>
      </c>
      <c r="C17" s="3" t="s">
        <v>31</v>
      </c>
      <c r="D17" s="3">
        <v>149.5</v>
      </c>
      <c r="E17" s="3">
        <v>198.7</v>
      </c>
      <c r="F17" s="3">
        <v>178.8</v>
      </c>
      <c r="G17" s="3">
        <v>160.5</v>
      </c>
      <c r="H17" s="3">
        <v>184.7</v>
      </c>
      <c r="I17" s="3">
        <v>153.69999999999999</v>
      </c>
      <c r="J17" s="3">
        <v>174.3</v>
      </c>
      <c r="K17" s="3">
        <v>163.9</v>
      </c>
      <c r="L17" s="3">
        <v>120</v>
      </c>
      <c r="M17" s="3">
        <v>172.1</v>
      </c>
      <c r="N17" s="3">
        <v>164.3</v>
      </c>
      <c r="O17" s="3">
        <v>177.3</v>
      </c>
      <c r="P17" s="3">
        <v>166.4</v>
      </c>
      <c r="Q17" s="3">
        <v>192.2</v>
      </c>
      <c r="R17" s="3">
        <v>169.9</v>
      </c>
      <c r="S17" s="3">
        <v>160.69999999999999</v>
      </c>
      <c r="T17" s="3">
        <v>168.5</v>
      </c>
      <c r="U17" s="3">
        <v>164.5</v>
      </c>
      <c r="V17" s="3">
        <v>164.2</v>
      </c>
      <c r="W17" s="3">
        <v>161.1</v>
      </c>
      <c r="X17" s="3">
        <v>171.4</v>
      </c>
      <c r="Y17" s="3">
        <v>156.5</v>
      </c>
      <c r="Z17" s="3">
        <v>161.19999999999999</v>
      </c>
      <c r="AA17" s="3">
        <v>164.7</v>
      </c>
      <c r="AB17" s="3">
        <v>163</v>
      </c>
      <c r="AC17" s="3">
        <v>162.69999999999999</v>
      </c>
      <c r="AD17" s="3">
        <v>165.7</v>
      </c>
      <c r="AE17" s="3">
        <v>1</v>
      </c>
      <c r="AF17" s="8">
        <v>44562</v>
      </c>
      <c r="AG17" s="13">
        <f t="shared" si="0"/>
        <v>6.0938452163306067E-4</v>
      </c>
      <c r="AH17" s="13">
        <f t="shared" si="1"/>
        <v>-1.0701545778834642E-2</v>
      </c>
      <c r="AI17" s="13">
        <f t="shared" si="2"/>
        <v>5.138086062941527E-3</v>
      </c>
      <c r="AJ17" s="13">
        <f t="shared" si="3"/>
        <v>8.9820359281436168E-3</v>
      </c>
      <c r="AK17" s="13">
        <f t="shared" si="4"/>
        <v>4.6893317702227932E-3</v>
      </c>
      <c r="AL17" s="13">
        <f t="shared" si="5"/>
        <v>-3.0084235860409203E-3</v>
      </c>
    </row>
    <row r="18" spans="1:38" x14ac:dyDescent="0.35">
      <c r="A18" s="4" t="s">
        <v>34</v>
      </c>
      <c r="B18" s="2">
        <v>2022</v>
      </c>
      <c r="C18" s="2" t="s">
        <v>35</v>
      </c>
      <c r="D18" s="2">
        <v>150</v>
      </c>
      <c r="E18" s="2">
        <v>200.6</v>
      </c>
      <c r="F18" s="2">
        <v>175.8</v>
      </c>
      <c r="G18" s="2">
        <v>160.69999999999999</v>
      </c>
      <c r="H18" s="2">
        <v>184.9</v>
      </c>
      <c r="I18" s="2">
        <v>153.69999999999999</v>
      </c>
      <c r="J18" s="2">
        <v>169.7</v>
      </c>
      <c r="K18" s="2">
        <v>163.69999999999999</v>
      </c>
      <c r="L18" s="2">
        <v>118.9</v>
      </c>
      <c r="M18" s="2">
        <v>174.3</v>
      </c>
      <c r="N18" s="2">
        <v>164.7</v>
      </c>
      <c r="O18" s="2">
        <v>178</v>
      </c>
      <c r="P18" s="2">
        <v>166.2</v>
      </c>
      <c r="Q18" s="2">
        <v>192.8</v>
      </c>
      <c r="R18" s="2">
        <v>170.8</v>
      </c>
      <c r="S18" s="2">
        <v>162.4</v>
      </c>
      <c r="T18" s="2">
        <v>169.6</v>
      </c>
      <c r="U18" s="2">
        <v>165.5</v>
      </c>
      <c r="V18" s="2">
        <v>165.7</v>
      </c>
      <c r="W18" s="2">
        <v>161.80000000000001</v>
      </c>
      <c r="X18" s="2">
        <v>172.2</v>
      </c>
      <c r="Y18" s="2">
        <v>156.9</v>
      </c>
      <c r="Z18" s="2">
        <v>162.1</v>
      </c>
      <c r="AA18" s="2">
        <v>165.4</v>
      </c>
      <c r="AB18" s="2">
        <v>164.4</v>
      </c>
      <c r="AC18" s="2">
        <v>163.5</v>
      </c>
      <c r="AD18" s="2">
        <v>166.1</v>
      </c>
      <c r="AE18" s="2">
        <v>2</v>
      </c>
      <c r="AF18" s="9">
        <v>44593</v>
      </c>
      <c r="AG18" s="13">
        <f t="shared" si="0"/>
        <v>9.1352009744214424E-3</v>
      </c>
      <c r="AH18" s="13">
        <f t="shared" si="1"/>
        <v>-1.2019230769231282E-3</v>
      </c>
      <c r="AI18" s="13">
        <f t="shared" si="2"/>
        <v>2.5559105431309792E-3</v>
      </c>
      <c r="AJ18" s="13">
        <f t="shared" si="3"/>
        <v>6.5281899109792541E-3</v>
      </c>
      <c r="AK18" s="13">
        <f t="shared" si="4"/>
        <v>4.6674445740955139E-3</v>
      </c>
      <c r="AL18" s="13">
        <f t="shared" si="5"/>
        <v>2.4140012070006378E-3</v>
      </c>
    </row>
    <row r="19" spans="1:38" x14ac:dyDescent="0.35">
      <c r="A19" s="5" t="s">
        <v>34</v>
      </c>
      <c r="B19" s="3">
        <v>2022</v>
      </c>
      <c r="C19" s="3" t="s">
        <v>36</v>
      </c>
      <c r="D19" s="3">
        <v>151.30000000000001</v>
      </c>
      <c r="E19" s="3">
        <v>210.7</v>
      </c>
      <c r="F19" s="3">
        <v>167.8</v>
      </c>
      <c r="G19" s="3">
        <v>162.19999999999999</v>
      </c>
      <c r="H19" s="3">
        <v>194.6</v>
      </c>
      <c r="I19" s="3">
        <v>157.6</v>
      </c>
      <c r="J19" s="3">
        <v>166.9</v>
      </c>
      <c r="K19" s="3">
        <v>163.9</v>
      </c>
      <c r="L19" s="3">
        <v>118.8</v>
      </c>
      <c r="M19" s="3">
        <v>177.4</v>
      </c>
      <c r="N19" s="3">
        <v>165.3</v>
      </c>
      <c r="O19" s="3">
        <v>179.3</v>
      </c>
      <c r="P19" s="3">
        <v>168.4</v>
      </c>
      <c r="Q19" s="3">
        <v>193.7</v>
      </c>
      <c r="R19" s="3">
        <v>172.1</v>
      </c>
      <c r="S19" s="3">
        <v>164.6</v>
      </c>
      <c r="T19" s="3">
        <v>171.1</v>
      </c>
      <c r="U19" s="3">
        <v>165.3</v>
      </c>
      <c r="V19" s="3">
        <v>167.2</v>
      </c>
      <c r="W19" s="3">
        <v>162.80000000000001</v>
      </c>
      <c r="X19" s="3">
        <v>173</v>
      </c>
      <c r="Y19" s="3">
        <v>157.9</v>
      </c>
      <c r="Z19" s="3">
        <v>163.30000000000001</v>
      </c>
      <c r="AA19" s="3">
        <v>166</v>
      </c>
      <c r="AB19" s="3">
        <v>167.2</v>
      </c>
      <c r="AC19" s="3">
        <v>164.6</v>
      </c>
      <c r="AD19" s="3">
        <v>167.7</v>
      </c>
      <c r="AE19" s="3">
        <v>3</v>
      </c>
      <c r="AF19" s="8">
        <v>44621</v>
      </c>
      <c r="AG19" s="13">
        <f t="shared" si="0"/>
        <v>9.0525045262521697E-3</v>
      </c>
      <c r="AH19" s="13">
        <f t="shared" si="1"/>
        <v>1.3237063778580138E-2</v>
      </c>
      <c r="AI19" s="13">
        <f t="shared" si="2"/>
        <v>6.3734862970044048E-3</v>
      </c>
      <c r="AJ19" s="13">
        <f t="shared" si="3"/>
        <v>8.8443396226414173E-3</v>
      </c>
      <c r="AK19" s="13">
        <f t="shared" si="4"/>
        <v>4.6457607433216808E-3</v>
      </c>
      <c r="AL19" s="13">
        <f t="shared" si="5"/>
        <v>9.6327513546057286E-3</v>
      </c>
    </row>
    <row r="20" spans="1:38" x14ac:dyDescent="0.35">
      <c r="A20" s="4" t="s">
        <v>34</v>
      </c>
      <c r="B20" s="2">
        <v>2022</v>
      </c>
      <c r="C20" s="2" t="s">
        <v>37</v>
      </c>
      <c r="D20" s="2">
        <v>152.9</v>
      </c>
      <c r="E20" s="2">
        <v>211.8</v>
      </c>
      <c r="F20" s="2">
        <v>164.5</v>
      </c>
      <c r="G20" s="2">
        <v>163.9</v>
      </c>
      <c r="H20" s="2">
        <v>199.5</v>
      </c>
      <c r="I20" s="2">
        <v>172.6</v>
      </c>
      <c r="J20" s="2">
        <v>166.2</v>
      </c>
      <c r="K20" s="2">
        <v>164.7</v>
      </c>
      <c r="L20" s="2">
        <v>119</v>
      </c>
      <c r="M20" s="2">
        <v>181.3</v>
      </c>
      <c r="N20" s="2">
        <v>166.2</v>
      </c>
      <c r="O20" s="2">
        <v>180.9</v>
      </c>
      <c r="P20" s="2">
        <v>170.8</v>
      </c>
      <c r="Q20" s="2">
        <v>193.9</v>
      </c>
      <c r="R20" s="2">
        <v>173.9</v>
      </c>
      <c r="S20" s="2">
        <v>166.5</v>
      </c>
      <c r="T20" s="2">
        <v>172.8</v>
      </c>
      <c r="U20" s="2">
        <v>167</v>
      </c>
      <c r="V20" s="2">
        <v>172.2</v>
      </c>
      <c r="W20" s="2">
        <v>164</v>
      </c>
      <c r="X20" s="2">
        <v>174</v>
      </c>
      <c r="Y20" s="2">
        <v>162.6</v>
      </c>
      <c r="Z20" s="2">
        <v>164.4</v>
      </c>
      <c r="AA20" s="2">
        <v>166.9</v>
      </c>
      <c r="AB20" s="2">
        <v>168.8</v>
      </c>
      <c r="AC20" s="2">
        <v>166.8</v>
      </c>
      <c r="AD20" s="2">
        <v>170.1</v>
      </c>
      <c r="AE20" s="2">
        <v>4</v>
      </c>
      <c r="AF20" s="9">
        <v>44652</v>
      </c>
      <c r="AG20" s="13">
        <f t="shared" si="0"/>
        <v>2.9904306220095656E-2</v>
      </c>
      <c r="AH20" s="13">
        <f t="shared" si="1"/>
        <v>1.4251781472684133E-2</v>
      </c>
      <c r="AI20" s="13">
        <f t="shared" si="2"/>
        <v>2.9765674477517434E-2</v>
      </c>
      <c r="AJ20" s="13">
        <f t="shared" si="3"/>
        <v>9.9357101110462143E-3</v>
      </c>
      <c r="AK20" s="13">
        <f t="shared" si="4"/>
        <v>5.7803468208093012E-3</v>
      </c>
      <c r="AL20" s="13">
        <f t="shared" si="5"/>
        <v>1.4311270125223707E-2</v>
      </c>
    </row>
    <row r="21" spans="1:38" x14ac:dyDescent="0.35">
      <c r="A21" s="5" t="s">
        <v>34</v>
      </c>
      <c r="B21" s="3">
        <v>2022</v>
      </c>
      <c r="C21" s="3" t="s">
        <v>38</v>
      </c>
      <c r="D21" s="3">
        <v>154.1</v>
      </c>
      <c r="E21" s="3">
        <v>217</v>
      </c>
      <c r="F21" s="3">
        <v>162.4</v>
      </c>
      <c r="G21" s="3">
        <v>164.9</v>
      </c>
      <c r="H21" s="3">
        <v>202.4</v>
      </c>
      <c r="I21" s="3">
        <v>171</v>
      </c>
      <c r="J21" s="3">
        <v>174.9</v>
      </c>
      <c r="K21" s="3">
        <v>164.7</v>
      </c>
      <c r="L21" s="3">
        <v>119.7</v>
      </c>
      <c r="M21" s="3">
        <v>184.9</v>
      </c>
      <c r="N21" s="3">
        <v>167.1</v>
      </c>
      <c r="O21" s="3">
        <v>182.5</v>
      </c>
      <c r="P21" s="3">
        <v>173.3</v>
      </c>
      <c r="Q21" s="3">
        <v>194.1</v>
      </c>
      <c r="R21" s="3">
        <v>175.6</v>
      </c>
      <c r="S21" s="3">
        <v>168.4</v>
      </c>
      <c r="T21" s="3">
        <v>174.6</v>
      </c>
      <c r="U21" s="3">
        <v>167.5</v>
      </c>
      <c r="V21" s="3">
        <v>174.6</v>
      </c>
      <c r="W21" s="3">
        <v>165.2</v>
      </c>
      <c r="X21" s="3">
        <v>174.8</v>
      </c>
      <c r="Y21" s="3">
        <v>163</v>
      </c>
      <c r="Z21" s="3">
        <v>165.1</v>
      </c>
      <c r="AA21" s="3">
        <v>167.9</v>
      </c>
      <c r="AB21" s="3">
        <v>168.4</v>
      </c>
      <c r="AC21" s="3">
        <v>167.5</v>
      </c>
      <c r="AD21" s="3">
        <v>171.7</v>
      </c>
      <c r="AE21" s="3">
        <v>5</v>
      </c>
      <c r="AF21" s="8">
        <v>44682</v>
      </c>
      <c r="AG21" s="13">
        <f t="shared" si="0"/>
        <v>1.3937282229965264E-2</v>
      </c>
      <c r="AH21" s="13">
        <f t="shared" si="1"/>
        <v>1.4637002341920446E-2</v>
      </c>
      <c r="AI21" s="13">
        <f t="shared" si="2"/>
        <v>2.4600246002459691E-3</v>
      </c>
      <c r="AJ21" s="13">
        <f t="shared" si="3"/>
        <v>1.0416666666666519E-2</v>
      </c>
      <c r="AK21" s="13">
        <f t="shared" si="4"/>
        <v>4.5977011494253706E-3</v>
      </c>
      <c r="AL21" s="13">
        <f t="shared" si="5"/>
        <v>9.4062316284537761E-3</v>
      </c>
    </row>
    <row r="22" spans="1:38" x14ac:dyDescent="0.35">
      <c r="A22" s="4" t="s">
        <v>34</v>
      </c>
      <c r="B22" s="2">
        <v>2022</v>
      </c>
      <c r="C22" s="2" t="s">
        <v>39</v>
      </c>
      <c r="D22" s="2">
        <v>155</v>
      </c>
      <c r="E22" s="2">
        <v>219.4</v>
      </c>
      <c r="F22" s="2">
        <v>170.8</v>
      </c>
      <c r="G22" s="2">
        <v>165.8</v>
      </c>
      <c r="H22" s="2">
        <v>200.9</v>
      </c>
      <c r="I22" s="2">
        <v>169.7</v>
      </c>
      <c r="J22" s="2">
        <v>182.3</v>
      </c>
      <c r="K22" s="2">
        <v>164.3</v>
      </c>
      <c r="L22" s="2">
        <v>119.9</v>
      </c>
      <c r="M22" s="2">
        <v>187.1</v>
      </c>
      <c r="N22" s="2">
        <v>167.9</v>
      </c>
      <c r="O22" s="2">
        <v>183.9</v>
      </c>
      <c r="P22" s="2">
        <v>174.9</v>
      </c>
      <c r="Q22" s="2">
        <v>194.3</v>
      </c>
      <c r="R22" s="2">
        <v>177.1</v>
      </c>
      <c r="S22" s="2">
        <v>169.9</v>
      </c>
      <c r="T22" s="2">
        <v>176</v>
      </c>
      <c r="U22" s="2">
        <v>166.8</v>
      </c>
      <c r="V22" s="2">
        <v>176</v>
      </c>
      <c r="W22" s="2">
        <v>166.4</v>
      </c>
      <c r="X22" s="2">
        <v>175.4</v>
      </c>
      <c r="Y22" s="2">
        <v>161.1</v>
      </c>
      <c r="Z22" s="2">
        <v>165.8</v>
      </c>
      <c r="AA22" s="2">
        <v>169</v>
      </c>
      <c r="AB22" s="2">
        <v>169.4</v>
      </c>
      <c r="AC22" s="2">
        <v>167.5</v>
      </c>
      <c r="AD22" s="2">
        <v>172.6</v>
      </c>
      <c r="AE22" s="2">
        <v>6</v>
      </c>
      <c r="AF22" s="9">
        <v>44713</v>
      </c>
      <c r="AG22" s="13">
        <f t="shared" si="0"/>
        <v>8.0183276059564434E-3</v>
      </c>
      <c r="AH22" s="13">
        <f t="shared" si="1"/>
        <v>9.2325447201384581E-3</v>
      </c>
      <c r="AI22" s="13">
        <f t="shared" si="2"/>
        <v>-1.1656441717791455E-2</v>
      </c>
      <c r="AJ22" s="13">
        <f t="shared" si="3"/>
        <v>8.0183276059564434E-3</v>
      </c>
      <c r="AK22" s="13">
        <f t="shared" si="4"/>
        <v>3.4324942791761348E-3</v>
      </c>
      <c r="AL22" s="13">
        <f t="shared" si="5"/>
        <v>5.2417006406524358E-3</v>
      </c>
    </row>
    <row r="23" spans="1:38" x14ac:dyDescent="0.35">
      <c r="A23" s="5" t="s">
        <v>34</v>
      </c>
      <c r="B23" s="3">
        <v>2022</v>
      </c>
      <c r="C23" s="3" t="s">
        <v>40</v>
      </c>
      <c r="D23" s="3">
        <v>156.5</v>
      </c>
      <c r="E23" s="3">
        <v>213</v>
      </c>
      <c r="F23" s="3">
        <v>175.2</v>
      </c>
      <c r="G23" s="3">
        <v>166.6</v>
      </c>
      <c r="H23" s="3">
        <v>195.8</v>
      </c>
      <c r="I23" s="3">
        <v>174.2</v>
      </c>
      <c r="J23" s="3">
        <v>182.1</v>
      </c>
      <c r="K23" s="3">
        <v>164.3</v>
      </c>
      <c r="L23" s="3">
        <v>120</v>
      </c>
      <c r="M23" s="3">
        <v>190</v>
      </c>
      <c r="N23" s="3">
        <v>168.4</v>
      </c>
      <c r="O23" s="3">
        <v>185.2</v>
      </c>
      <c r="P23" s="3">
        <v>175</v>
      </c>
      <c r="Q23" s="3">
        <v>194.6</v>
      </c>
      <c r="R23" s="3">
        <v>178.3</v>
      </c>
      <c r="S23" s="3">
        <v>171.3</v>
      </c>
      <c r="T23" s="3">
        <v>177.3</v>
      </c>
      <c r="U23" s="3">
        <v>167.8</v>
      </c>
      <c r="V23" s="3">
        <v>179.6</v>
      </c>
      <c r="W23" s="3">
        <v>167.4</v>
      </c>
      <c r="X23" s="3">
        <v>176.1</v>
      </c>
      <c r="Y23" s="3">
        <v>161.6</v>
      </c>
      <c r="Z23" s="3">
        <v>166.3</v>
      </c>
      <c r="AA23" s="3">
        <v>171.4</v>
      </c>
      <c r="AB23" s="3">
        <v>169.7</v>
      </c>
      <c r="AC23" s="3">
        <v>168.4</v>
      </c>
      <c r="AD23" s="3">
        <v>173.4</v>
      </c>
      <c r="AE23" s="3">
        <v>7</v>
      </c>
      <c r="AF23" s="8">
        <v>44743</v>
      </c>
      <c r="AG23" s="13">
        <f t="shared" si="0"/>
        <v>2.0454545454545503E-2</v>
      </c>
      <c r="AH23" s="13">
        <f t="shared" si="1"/>
        <v>5.7175528873631976E-4</v>
      </c>
      <c r="AI23" s="13">
        <f t="shared" si="2"/>
        <v>3.1036623215394687E-3</v>
      </c>
      <c r="AJ23" s="13">
        <f t="shared" si="3"/>
        <v>7.3863636363638019E-3</v>
      </c>
      <c r="AK23" s="13">
        <f t="shared" si="4"/>
        <v>3.9908779931583371E-3</v>
      </c>
      <c r="AL23" s="13">
        <f t="shared" si="5"/>
        <v>4.6349942062573479E-3</v>
      </c>
    </row>
    <row r="24" spans="1:38" x14ac:dyDescent="0.35">
      <c r="A24" s="4" t="s">
        <v>34</v>
      </c>
      <c r="B24" s="2">
        <v>2022</v>
      </c>
      <c r="C24" s="2" t="s">
        <v>41</v>
      </c>
      <c r="D24" s="2">
        <v>160.30000000000001</v>
      </c>
      <c r="E24" s="2">
        <v>206.5</v>
      </c>
      <c r="F24" s="2">
        <v>169.2</v>
      </c>
      <c r="G24" s="2">
        <v>168.1</v>
      </c>
      <c r="H24" s="2">
        <v>192.4</v>
      </c>
      <c r="I24" s="2">
        <v>172.9</v>
      </c>
      <c r="J24" s="2">
        <v>186.7</v>
      </c>
      <c r="K24" s="2">
        <v>167.2</v>
      </c>
      <c r="L24" s="2">
        <v>120.9</v>
      </c>
      <c r="M24" s="2">
        <v>193.6</v>
      </c>
      <c r="N24" s="2">
        <v>168.8</v>
      </c>
      <c r="O24" s="2">
        <v>186.3</v>
      </c>
      <c r="P24" s="2">
        <v>176.3</v>
      </c>
      <c r="Q24" s="2">
        <v>195</v>
      </c>
      <c r="R24" s="2">
        <v>179.5</v>
      </c>
      <c r="S24" s="2">
        <v>172.7</v>
      </c>
      <c r="T24" s="2">
        <v>178.5</v>
      </c>
      <c r="U24" s="2">
        <v>169</v>
      </c>
      <c r="V24" s="2">
        <v>178.8</v>
      </c>
      <c r="W24" s="2">
        <v>168.5</v>
      </c>
      <c r="X24" s="2">
        <v>176.8</v>
      </c>
      <c r="Y24" s="2">
        <v>161.9</v>
      </c>
      <c r="Z24" s="2">
        <v>166.9</v>
      </c>
      <c r="AA24" s="2">
        <v>172.3</v>
      </c>
      <c r="AB24" s="2">
        <v>171.2</v>
      </c>
      <c r="AC24" s="2">
        <v>169.1</v>
      </c>
      <c r="AD24" s="2">
        <v>174.3</v>
      </c>
      <c r="AE24" s="2">
        <v>8</v>
      </c>
      <c r="AF24" s="9">
        <v>44774</v>
      </c>
      <c r="AG24" s="13">
        <f t="shared" si="0"/>
        <v>-4.4543429844097204E-3</v>
      </c>
      <c r="AH24" s="13">
        <f t="shared" si="1"/>
        <v>7.4285714285715621E-3</v>
      </c>
      <c r="AI24" s="13">
        <f t="shared" si="2"/>
        <v>1.8564356435644136E-3</v>
      </c>
      <c r="AJ24" s="13">
        <f t="shared" si="3"/>
        <v>6.7681895093061328E-3</v>
      </c>
      <c r="AK24" s="13">
        <f t="shared" si="4"/>
        <v>3.9750141964793873E-3</v>
      </c>
      <c r="AL24" s="13">
        <f t="shared" si="5"/>
        <v>5.1903114186850896E-3</v>
      </c>
    </row>
    <row r="25" spans="1:38" x14ac:dyDescent="0.35">
      <c r="A25" s="5" t="s">
        <v>34</v>
      </c>
      <c r="B25" s="3">
        <v>2022</v>
      </c>
      <c r="C25" s="3" t="s">
        <v>42</v>
      </c>
      <c r="D25" s="3">
        <v>163.5</v>
      </c>
      <c r="E25" s="3">
        <v>209.2</v>
      </c>
      <c r="F25" s="3">
        <v>169.7</v>
      </c>
      <c r="G25" s="3">
        <v>169.7</v>
      </c>
      <c r="H25" s="3">
        <v>188.7</v>
      </c>
      <c r="I25" s="3">
        <v>165.7</v>
      </c>
      <c r="J25" s="3">
        <v>191.8</v>
      </c>
      <c r="K25" s="3">
        <v>169.1</v>
      </c>
      <c r="L25" s="3">
        <v>121.6</v>
      </c>
      <c r="M25" s="3">
        <v>197.3</v>
      </c>
      <c r="N25" s="3">
        <v>169.4</v>
      </c>
      <c r="O25" s="3">
        <v>187.4</v>
      </c>
      <c r="P25" s="3">
        <v>177.8</v>
      </c>
      <c r="Q25" s="3">
        <v>195.9</v>
      </c>
      <c r="R25" s="3">
        <v>180.9</v>
      </c>
      <c r="S25" s="3">
        <v>174.3</v>
      </c>
      <c r="T25" s="3">
        <v>179.9</v>
      </c>
      <c r="U25" s="3">
        <v>169.5</v>
      </c>
      <c r="V25" s="3">
        <v>179.5</v>
      </c>
      <c r="W25" s="3">
        <v>169.5</v>
      </c>
      <c r="X25" s="3">
        <v>177.8</v>
      </c>
      <c r="Y25" s="3">
        <v>162.30000000000001</v>
      </c>
      <c r="Z25" s="3">
        <v>167.6</v>
      </c>
      <c r="AA25" s="3">
        <v>173.1</v>
      </c>
      <c r="AB25" s="3">
        <v>170.9</v>
      </c>
      <c r="AC25" s="3">
        <v>169.7</v>
      </c>
      <c r="AD25" s="3">
        <v>175.3</v>
      </c>
      <c r="AE25" s="3">
        <v>9</v>
      </c>
      <c r="AF25" s="8">
        <v>44805</v>
      </c>
      <c r="AG25" s="13">
        <f t="shared" si="0"/>
        <v>3.9149888143175104E-3</v>
      </c>
      <c r="AH25" s="13">
        <f t="shared" si="1"/>
        <v>8.5082246171299669E-3</v>
      </c>
      <c r="AI25" s="13">
        <f t="shared" si="2"/>
        <v>2.4706609017912662E-3</v>
      </c>
      <c r="AJ25" s="13">
        <f t="shared" si="3"/>
        <v>7.8431372549019329E-3</v>
      </c>
      <c r="AK25" s="13">
        <f t="shared" si="4"/>
        <v>5.6561085972850478E-3</v>
      </c>
      <c r="AL25" s="13">
        <f t="shared" si="5"/>
        <v>5.7372346528972162E-3</v>
      </c>
    </row>
    <row r="26" spans="1:38" x14ac:dyDescent="0.35">
      <c r="A26" s="4" t="s">
        <v>34</v>
      </c>
      <c r="B26" s="2">
        <v>2022</v>
      </c>
      <c r="C26" s="2" t="s">
        <v>43</v>
      </c>
      <c r="D26" s="2">
        <v>165.2</v>
      </c>
      <c r="E26" s="2">
        <v>210.9</v>
      </c>
      <c r="F26" s="2">
        <v>170.9</v>
      </c>
      <c r="G26" s="2">
        <v>170.9</v>
      </c>
      <c r="H26" s="2">
        <v>186.5</v>
      </c>
      <c r="I26" s="2">
        <v>163.80000000000001</v>
      </c>
      <c r="J26" s="2">
        <v>199.7</v>
      </c>
      <c r="K26" s="2">
        <v>169.8</v>
      </c>
      <c r="L26" s="2">
        <v>121.9</v>
      </c>
      <c r="M26" s="2">
        <v>199.9</v>
      </c>
      <c r="N26" s="2">
        <v>169.9</v>
      </c>
      <c r="O26" s="2">
        <v>188.3</v>
      </c>
      <c r="P26" s="2">
        <v>179.6</v>
      </c>
      <c r="Q26" s="2">
        <v>196.3</v>
      </c>
      <c r="R26" s="2">
        <v>181.9</v>
      </c>
      <c r="S26" s="2">
        <v>175.3</v>
      </c>
      <c r="T26" s="2">
        <v>181</v>
      </c>
      <c r="U26" s="2">
        <v>171.2</v>
      </c>
      <c r="V26" s="2">
        <v>180.5</v>
      </c>
      <c r="W26" s="2">
        <v>170.4</v>
      </c>
      <c r="X26" s="2">
        <v>178.7</v>
      </c>
      <c r="Y26" s="2">
        <v>162.9</v>
      </c>
      <c r="Z26" s="2">
        <v>168.2</v>
      </c>
      <c r="AA26" s="2">
        <v>173.4</v>
      </c>
      <c r="AB26" s="2">
        <v>172.1</v>
      </c>
      <c r="AC26" s="2">
        <v>170.5</v>
      </c>
      <c r="AD26" s="2">
        <v>176.7</v>
      </c>
      <c r="AE26" s="2">
        <v>10</v>
      </c>
      <c r="AF26" s="9">
        <v>44835</v>
      </c>
      <c r="AG26" s="13">
        <f t="shared" si="0"/>
        <v>5.5710306406684396E-3</v>
      </c>
      <c r="AH26" s="13">
        <f t="shared" si="1"/>
        <v>1.0123734533183271E-2</v>
      </c>
      <c r="AI26" s="13">
        <f t="shared" si="2"/>
        <v>3.6968576709797141E-3</v>
      </c>
      <c r="AJ26" s="13">
        <f t="shared" si="3"/>
        <v>6.1145080600333301E-3</v>
      </c>
      <c r="AK26" s="13">
        <f t="shared" si="4"/>
        <v>5.0618672665916353E-3</v>
      </c>
      <c r="AL26" s="13">
        <f t="shared" si="5"/>
        <v>7.986309184255358E-3</v>
      </c>
    </row>
    <row r="27" spans="1:38" x14ac:dyDescent="0.35">
      <c r="A27" s="5" t="s">
        <v>34</v>
      </c>
      <c r="B27" s="3">
        <v>2022</v>
      </c>
      <c r="C27" s="3" t="s">
        <v>45</v>
      </c>
      <c r="D27" s="3">
        <v>167.4</v>
      </c>
      <c r="E27" s="3">
        <v>209.4</v>
      </c>
      <c r="F27" s="3">
        <v>181.4</v>
      </c>
      <c r="G27" s="3">
        <v>172.3</v>
      </c>
      <c r="H27" s="3">
        <v>188.9</v>
      </c>
      <c r="I27" s="3">
        <v>160.69999999999999</v>
      </c>
      <c r="J27" s="3">
        <v>183.1</v>
      </c>
      <c r="K27" s="3">
        <v>170.5</v>
      </c>
      <c r="L27" s="3">
        <v>122.1</v>
      </c>
      <c r="M27" s="3">
        <v>202.8</v>
      </c>
      <c r="N27" s="3">
        <v>170.4</v>
      </c>
      <c r="O27" s="3">
        <v>189.5</v>
      </c>
      <c r="P27" s="3">
        <v>178.3</v>
      </c>
      <c r="Q27" s="3">
        <v>196.9</v>
      </c>
      <c r="R27" s="3">
        <v>183.1</v>
      </c>
      <c r="S27" s="3">
        <v>176.2</v>
      </c>
      <c r="T27" s="3">
        <v>182.1</v>
      </c>
      <c r="U27" s="3">
        <v>171.8</v>
      </c>
      <c r="V27" s="3">
        <v>181.3</v>
      </c>
      <c r="W27" s="3">
        <v>171.4</v>
      </c>
      <c r="X27" s="3">
        <v>179.8</v>
      </c>
      <c r="Y27" s="3">
        <v>163</v>
      </c>
      <c r="Z27" s="3">
        <v>168.5</v>
      </c>
      <c r="AA27" s="3">
        <v>173.7</v>
      </c>
      <c r="AB27" s="3">
        <v>173.6</v>
      </c>
      <c r="AC27" s="3">
        <v>171.1</v>
      </c>
      <c r="AD27" s="3">
        <v>176.5</v>
      </c>
      <c r="AE27" s="3">
        <v>11</v>
      </c>
      <c r="AF27" s="8">
        <v>44866</v>
      </c>
      <c r="AG27" s="13">
        <f t="shared" si="0"/>
        <v>4.4321329639889218E-3</v>
      </c>
      <c r="AH27" s="13">
        <f t="shared" si="1"/>
        <v>-7.2383073496657957E-3</v>
      </c>
      <c r="AI27" s="13">
        <f t="shared" si="2"/>
        <v>6.1387354205022504E-4</v>
      </c>
      <c r="AJ27" s="13">
        <f t="shared" si="3"/>
        <v>6.0773480662983381E-3</v>
      </c>
      <c r="AK27" s="13">
        <f t="shared" si="4"/>
        <v>6.1555679910465511E-3</v>
      </c>
      <c r="AL27" s="13">
        <f t="shared" si="5"/>
        <v>-1.1318619128465324E-3</v>
      </c>
    </row>
    <row r="28" spans="1:38" x14ac:dyDescent="0.35">
      <c r="A28" s="4" t="s">
        <v>34</v>
      </c>
      <c r="B28" s="2">
        <v>2022</v>
      </c>
      <c r="C28" s="2" t="s">
        <v>46</v>
      </c>
      <c r="D28" s="2">
        <v>169.2</v>
      </c>
      <c r="E28" s="2">
        <v>209</v>
      </c>
      <c r="F28" s="2">
        <v>190.2</v>
      </c>
      <c r="G28" s="2">
        <v>173.6</v>
      </c>
      <c r="H28" s="2">
        <v>188.5</v>
      </c>
      <c r="I28" s="2">
        <v>158</v>
      </c>
      <c r="J28" s="2">
        <v>159.9</v>
      </c>
      <c r="K28" s="2">
        <v>170.8</v>
      </c>
      <c r="L28" s="2">
        <v>121.8</v>
      </c>
      <c r="M28" s="2">
        <v>205.2</v>
      </c>
      <c r="N28" s="2">
        <v>171</v>
      </c>
      <c r="O28" s="2">
        <v>190.3</v>
      </c>
      <c r="P28" s="2">
        <v>175.9</v>
      </c>
      <c r="Q28" s="2">
        <v>197.3</v>
      </c>
      <c r="R28" s="2">
        <v>184</v>
      </c>
      <c r="S28" s="2">
        <v>177</v>
      </c>
      <c r="T28" s="2">
        <v>183</v>
      </c>
      <c r="U28" s="2">
        <v>170.7</v>
      </c>
      <c r="V28" s="2">
        <v>182</v>
      </c>
      <c r="W28" s="2">
        <v>172.1</v>
      </c>
      <c r="X28" s="2">
        <v>181.1</v>
      </c>
      <c r="Y28" s="2">
        <v>163.4</v>
      </c>
      <c r="Z28" s="2">
        <v>168.9</v>
      </c>
      <c r="AA28" s="2">
        <v>174.1</v>
      </c>
      <c r="AB28" s="2">
        <v>175.8</v>
      </c>
      <c r="AC28" s="2">
        <v>172</v>
      </c>
      <c r="AD28" s="2">
        <v>175.7</v>
      </c>
      <c r="AE28" s="2">
        <v>12</v>
      </c>
      <c r="AF28" s="9">
        <v>44896</v>
      </c>
      <c r="AG28" s="13">
        <f t="shared" si="0"/>
        <v>3.8610038610038533E-3</v>
      </c>
      <c r="AH28" s="13">
        <f t="shared" si="1"/>
        <v>-1.346045989904654E-2</v>
      </c>
      <c r="AI28" s="13">
        <f t="shared" si="2"/>
        <v>2.4539877300613355E-3</v>
      </c>
      <c r="AJ28" s="13">
        <f t="shared" si="3"/>
        <v>4.9423393739704835E-3</v>
      </c>
      <c r="AK28" s="13">
        <f t="shared" si="4"/>
        <v>7.2302558398218419E-3</v>
      </c>
      <c r="AL28" s="13">
        <f t="shared" si="5"/>
        <v>-4.5325779036827774E-3</v>
      </c>
    </row>
    <row r="29" spans="1:38" x14ac:dyDescent="0.35">
      <c r="A29" s="5" t="s">
        <v>34</v>
      </c>
      <c r="B29" s="3">
        <v>2023</v>
      </c>
      <c r="C29" s="3" t="s">
        <v>31</v>
      </c>
      <c r="D29" s="3">
        <v>173.8</v>
      </c>
      <c r="E29" s="3">
        <v>210.7</v>
      </c>
      <c r="F29" s="3">
        <v>194.5</v>
      </c>
      <c r="G29" s="3">
        <v>174.6</v>
      </c>
      <c r="H29" s="3">
        <v>187.2</v>
      </c>
      <c r="I29" s="3">
        <v>158.30000000000001</v>
      </c>
      <c r="J29" s="3">
        <v>153.9</v>
      </c>
      <c r="K29" s="3">
        <v>170.9</v>
      </c>
      <c r="L29" s="3">
        <v>121.1</v>
      </c>
      <c r="M29" s="3">
        <v>208.4</v>
      </c>
      <c r="N29" s="3">
        <v>171.4</v>
      </c>
      <c r="O29" s="3">
        <v>191.2</v>
      </c>
      <c r="P29" s="3">
        <v>176.7</v>
      </c>
      <c r="Q29" s="3">
        <v>198.2</v>
      </c>
      <c r="R29" s="3">
        <v>184.9</v>
      </c>
      <c r="S29" s="3">
        <v>177.6</v>
      </c>
      <c r="T29" s="3">
        <v>183.8</v>
      </c>
      <c r="U29" s="3">
        <v>172.1</v>
      </c>
      <c r="V29" s="3">
        <v>182</v>
      </c>
      <c r="W29" s="3">
        <v>172.9</v>
      </c>
      <c r="X29" s="3">
        <v>182.3</v>
      </c>
      <c r="Y29" s="3">
        <v>163.6</v>
      </c>
      <c r="Z29" s="3">
        <v>169.5</v>
      </c>
      <c r="AA29" s="3">
        <v>174.3</v>
      </c>
      <c r="AB29" s="3">
        <v>178.6</v>
      </c>
      <c r="AC29" s="3">
        <v>172.8</v>
      </c>
      <c r="AD29" s="3">
        <v>176.5</v>
      </c>
      <c r="AE29" s="3">
        <v>1</v>
      </c>
      <c r="AF29" s="8">
        <v>44927</v>
      </c>
      <c r="AG29" s="13">
        <f t="shared" si="0"/>
        <v>0</v>
      </c>
      <c r="AH29" s="13">
        <f t="shared" si="1"/>
        <v>4.5480386583285348E-3</v>
      </c>
      <c r="AI29" s="13">
        <f t="shared" si="2"/>
        <v>1.2239902080781739E-3</v>
      </c>
      <c r="AJ29" s="13">
        <f t="shared" si="3"/>
        <v>4.3715846994536456E-3</v>
      </c>
      <c r="AK29" s="13">
        <f t="shared" si="4"/>
        <v>6.6261733848702598E-3</v>
      </c>
      <c r="AL29" s="13">
        <f t="shared" si="5"/>
        <v>4.5532157085943492E-3</v>
      </c>
    </row>
    <row r="30" spans="1:38" x14ac:dyDescent="0.35">
      <c r="A30" s="4" t="s">
        <v>34</v>
      </c>
      <c r="B30" s="2">
        <v>2023</v>
      </c>
      <c r="C30" s="2" t="s">
        <v>35</v>
      </c>
      <c r="D30" s="2">
        <v>174.4</v>
      </c>
      <c r="E30" s="2">
        <v>207.7</v>
      </c>
      <c r="F30" s="2">
        <v>175.2</v>
      </c>
      <c r="G30" s="2">
        <v>177.3</v>
      </c>
      <c r="H30" s="2">
        <v>179.3</v>
      </c>
      <c r="I30" s="2">
        <v>169.5</v>
      </c>
      <c r="J30" s="2">
        <v>152.69999999999999</v>
      </c>
      <c r="K30" s="2">
        <v>171</v>
      </c>
      <c r="L30" s="2">
        <v>120</v>
      </c>
      <c r="M30" s="2">
        <v>209.7</v>
      </c>
      <c r="N30" s="2">
        <v>172.3</v>
      </c>
      <c r="O30" s="2">
        <v>193</v>
      </c>
      <c r="P30" s="2">
        <v>177</v>
      </c>
      <c r="Q30" s="2">
        <v>199.5</v>
      </c>
      <c r="R30" s="2">
        <v>186.2</v>
      </c>
      <c r="S30" s="2">
        <v>178.7</v>
      </c>
      <c r="T30" s="2">
        <v>185.1</v>
      </c>
      <c r="U30" s="2">
        <v>173.5</v>
      </c>
      <c r="V30" s="2">
        <v>182.1</v>
      </c>
      <c r="W30" s="2">
        <v>174.2</v>
      </c>
      <c r="X30" s="2">
        <v>184.4</v>
      </c>
      <c r="Y30" s="2">
        <v>164.2</v>
      </c>
      <c r="Z30" s="2">
        <v>170.3</v>
      </c>
      <c r="AA30" s="2">
        <v>175</v>
      </c>
      <c r="AB30" s="2">
        <v>181</v>
      </c>
      <c r="AC30" s="2">
        <v>174.1</v>
      </c>
      <c r="AD30" s="2">
        <v>177.2</v>
      </c>
      <c r="AE30" s="2">
        <v>2</v>
      </c>
      <c r="AF30" s="9">
        <v>44958</v>
      </c>
      <c r="AG30" s="13">
        <f t="shared" si="0"/>
        <v>5.494505494505475E-4</v>
      </c>
      <c r="AH30" s="13">
        <f t="shared" si="1"/>
        <v>1.6977928692700761E-3</v>
      </c>
      <c r="AI30" s="13">
        <f t="shared" si="2"/>
        <v>3.6674816625916762E-3</v>
      </c>
      <c r="AJ30" s="13">
        <f t="shared" si="3"/>
        <v>7.0729053318823176E-3</v>
      </c>
      <c r="AK30" s="13">
        <f t="shared" si="4"/>
        <v>1.1519473395501967E-2</v>
      </c>
      <c r="AL30" s="13">
        <f t="shared" si="5"/>
        <v>3.9660056657222498E-3</v>
      </c>
    </row>
    <row r="31" spans="1:38" x14ac:dyDescent="0.35">
      <c r="A31" s="5" t="s">
        <v>34</v>
      </c>
      <c r="B31" s="3">
        <v>2023</v>
      </c>
      <c r="C31" s="3" t="s">
        <v>36</v>
      </c>
      <c r="D31" s="3">
        <v>174.4</v>
      </c>
      <c r="E31" s="3">
        <v>207.7</v>
      </c>
      <c r="F31" s="3">
        <v>175.2</v>
      </c>
      <c r="G31" s="3">
        <v>177.3</v>
      </c>
      <c r="H31" s="3">
        <v>179.2</v>
      </c>
      <c r="I31" s="3">
        <v>169.5</v>
      </c>
      <c r="J31" s="3">
        <v>152.80000000000001</v>
      </c>
      <c r="K31" s="3">
        <v>171.1</v>
      </c>
      <c r="L31" s="3">
        <v>120</v>
      </c>
      <c r="M31" s="3">
        <v>209.7</v>
      </c>
      <c r="N31" s="3">
        <v>172.3</v>
      </c>
      <c r="O31" s="3">
        <v>193</v>
      </c>
      <c r="P31" s="3">
        <v>177</v>
      </c>
      <c r="Q31" s="3">
        <v>199.5</v>
      </c>
      <c r="R31" s="3">
        <v>186.1</v>
      </c>
      <c r="S31" s="3">
        <v>178.7</v>
      </c>
      <c r="T31" s="3">
        <v>185.1</v>
      </c>
      <c r="U31" s="3">
        <v>173.5</v>
      </c>
      <c r="V31" s="3">
        <v>181.9</v>
      </c>
      <c r="W31" s="3">
        <v>174.2</v>
      </c>
      <c r="X31" s="3">
        <v>184.4</v>
      </c>
      <c r="Y31" s="3">
        <v>164.2</v>
      </c>
      <c r="Z31" s="3">
        <v>170.3</v>
      </c>
      <c r="AA31" s="3">
        <v>175</v>
      </c>
      <c r="AB31" s="3">
        <v>181</v>
      </c>
      <c r="AC31" s="3">
        <v>174.1</v>
      </c>
      <c r="AD31" s="3">
        <v>177.2</v>
      </c>
      <c r="AE31" s="3">
        <v>3</v>
      </c>
      <c r="AF31" s="8">
        <v>44986</v>
      </c>
      <c r="AG31" s="13">
        <f t="shared" si="0"/>
        <v>-1.0982976386599841E-3</v>
      </c>
      <c r="AH31" s="13">
        <f t="shared" si="1"/>
        <v>0</v>
      </c>
      <c r="AI31" s="13">
        <f t="shared" si="2"/>
        <v>0</v>
      </c>
      <c r="AJ31" s="13">
        <f t="shared" si="3"/>
        <v>0</v>
      </c>
      <c r="AK31" s="13">
        <f t="shared" si="4"/>
        <v>0</v>
      </c>
      <c r="AL31" s="13">
        <f t="shared" si="5"/>
        <v>0</v>
      </c>
    </row>
    <row r="32" spans="1:38" x14ac:dyDescent="0.35">
      <c r="A32" s="4" t="s">
        <v>34</v>
      </c>
      <c r="B32" s="2">
        <v>2023</v>
      </c>
      <c r="C32" s="2" t="s">
        <v>37</v>
      </c>
      <c r="D32" s="2">
        <v>173.8</v>
      </c>
      <c r="E32" s="2">
        <v>209.3</v>
      </c>
      <c r="F32" s="2">
        <v>169.6</v>
      </c>
      <c r="G32" s="2">
        <v>178.4</v>
      </c>
      <c r="H32" s="2">
        <v>174.9</v>
      </c>
      <c r="I32" s="2">
        <v>176.3</v>
      </c>
      <c r="J32" s="2">
        <v>155.4</v>
      </c>
      <c r="K32" s="2">
        <v>173.4</v>
      </c>
      <c r="L32" s="2">
        <v>121.3</v>
      </c>
      <c r="M32" s="2">
        <v>212.9</v>
      </c>
      <c r="N32" s="2">
        <v>172.9</v>
      </c>
      <c r="O32" s="2">
        <v>193.5</v>
      </c>
      <c r="P32" s="2">
        <v>177.9</v>
      </c>
      <c r="Q32" s="2">
        <v>200.6</v>
      </c>
      <c r="R32" s="2">
        <v>186.9</v>
      </c>
      <c r="S32" s="2">
        <v>179.2</v>
      </c>
      <c r="T32" s="2">
        <v>185.7</v>
      </c>
      <c r="U32" s="2">
        <v>175.2</v>
      </c>
      <c r="V32" s="2">
        <v>181.7</v>
      </c>
      <c r="W32" s="2">
        <v>174.6</v>
      </c>
      <c r="X32" s="2">
        <v>185</v>
      </c>
      <c r="Y32" s="2">
        <v>164.5</v>
      </c>
      <c r="Z32" s="2">
        <v>170.7</v>
      </c>
      <c r="AA32" s="2">
        <v>176.4</v>
      </c>
      <c r="AB32" s="2">
        <v>184</v>
      </c>
      <c r="AC32" s="2">
        <v>175</v>
      </c>
      <c r="AD32" s="2">
        <v>178.1</v>
      </c>
      <c r="AE32" s="2">
        <v>4</v>
      </c>
      <c r="AF32" s="9">
        <v>45017</v>
      </c>
      <c r="AG32" s="13">
        <f t="shared" si="0"/>
        <v>-1.0995052226498991E-3</v>
      </c>
      <c r="AH32" s="13">
        <f t="shared" si="1"/>
        <v>5.0847457627118953E-3</v>
      </c>
      <c r="AI32" s="13">
        <f t="shared" si="2"/>
        <v>1.8270401948843329E-3</v>
      </c>
      <c r="AJ32" s="13">
        <f t="shared" si="3"/>
        <v>3.2414910858995505E-3</v>
      </c>
      <c r="AK32" s="13">
        <f t="shared" si="4"/>
        <v>3.2537960954446277E-3</v>
      </c>
      <c r="AL32" s="13">
        <f t="shared" si="5"/>
        <v>5.0790067720090093E-3</v>
      </c>
    </row>
    <row r="33" spans="1:38" x14ac:dyDescent="0.35">
      <c r="A33" s="5" t="s">
        <v>34</v>
      </c>
      <c r="B33" s="3">
        <v>2023</v>
      </c>
      <c r="C33" s="3" t="s">
        <v>38</v>
      </c>
      <c r="D33" s="3">
        <v>173.7</v>
      </c>
      <c r="E33" s="3">
        <v>214.3</v>
      </c>
      <c r="F33" s="3">
        <v>173.2</v>
      </c>
      <c r="G33" s="3">
        <v>179.5</v>
      </c>
      <c r="H33" s="3">
        <v>170</v>
      </c>
      <c r="I33" s="3">
        <v>172.2</v>
      </c>
      <c r="J33" s="3">
        <v>161</v>
      </c>
      <c r="K33" s="3">
        <v>175.6</v>
      </c>
      <c r="L33" s="3">
        <v>122.7</v>
      </c>
      <c r="M33" s="3">
        <v>218</v>
      </c>
      <c r="N33" s="3">
        <v>173.4</v>
      </c>
      <c r="O33" s="3">
        <v>194.2</v>
      </c>
      <c r="P33" s="3">
        <v>179.1</v>
      </c>
      <c r="Q33" s="3">
        <v>201</v>
      </c>
      <c r="R33" s="3">
        <v>187.3</v>
      </c>
      <c r="S33" s="3">
        <v>179.7</v>
      </c>
      <c r="T33" s="3">
        <v>186.2</v>
      </c>
      <c r="U33" s="3">
        <v>175.6</v>
      </c>
      <c r="V33" s="3">
        <v>182.8</v>
      </c>
      <c r="W33" s="3">
        <v>175.2</v>
      </c>
      <c r="X33" s="3">
        <v>185.7</v>
      </c>
      <c r="Y33" s="3">
        <v>164.8</v>
      </c>
      <c r="Z33" s="3">
        <v>171.2</v>
      </c>
      <c r="AA33" s="3">
        <v>177.1</v>
      </c>
      <c r="AB33" s="3">
        <v>185.2</v>
      </c>
      <c r="AC33" s="3">
        <v>175.7</v>
      </c>
      <c r="AD33" s="3">
        <v>179.1</v>
      </c>
      <c r="AE33" s="3">
        <v>5</v>
      </c>
      <c r="AF33" s="8">
        <v>45047</v>
      </c>
      <c r="AG33" s="13">
        <f t="shared" si="0"/>
        <v>6.0539350577877293E-3</v>
      </c>
      <c r="AH33" s="13">
        <f t="shared" si="1"/>
        <v>6.7453625632376557E-3</v>
      </c>
      <c r="AI33" s="13">
        <f t="shared" si="2"/>
        <v>1.8237082066869803E-3</v>
      </c>
      <c r="AJ33" s="13">
        <f t="shared" si="3"/>
        <v>2.692514808831481E-3</v>
      </c>
      <c r="AK33" s="13">
        <f t="shared" si="4"/>
        <v>3.7837837837837451E-3</v>
      </c>
      <c r="AL33" s="13">
        <f t="shared" si="5"/>
        <v>5.6148231330712672E-3</v>
      </c>
    </row>
    <row r="35" spans="1:38" x14ac:dyDescent="0.35">
      <c r="F35" t="s">
        <v>66</v>
      </c>
      <c r="G35" t="s">
        <v>88</v>
      </c>
    </row>
    <row r="36" spans="1:38" x14ac:dyDescent="0.35">
      <c r="F36" t="s">
        <v>89</v>
      </c>
      <c r="G36" s="11">
        <f>CORREL(AG6:AG33,AH6:AH33)</f>
        <v>-4.1228945436173121E-2</v>
      </c>
    </row>
    <row r="37" spans="1:38" x14ac:dyDescent="0.35">
      <c r="F37" t="s">
        <v>93</v>
      </c>
      <c r="G37" s="11">
        <f>CORREL(AG3:AG30,AL3:AL30)</f>
        <v>0.26303060954621443</v>
      </c>
    </row>
    <row r="38" spans="1:38" x14ac:dyDescent="0.35">
      <c r="F38" t="s">
        <v>92</v>
      </c>
      <c r="G38" s="11">
        <f>CORREL(AG5:AG32,AK5:AK32)</f>
        <v>0.46822538991991924</v>
      </c>
    </row>
    <row r="39" spans="1:38" x14ac:dyDescent="0.35">
      <c r="F39" t="s">
        <v>91</v>
      </c>
      <c r="G39" s="11">
        <f>CORREL(AG7:AG34,AJ7:AJ34)</f>
        <v>0.53195367884287248</v>
      </c>
    </row>
    <row r="40" spans="1:38" x14ac:dyDescent="0.35">
      <c r="F40" t="s">
        <v>90</v>
      </c>
      <c r="G40" s="11">
        <f>CORREL(AG9:AG36,AI9:AI36)</f>
        <v>0.60416476808462904</v>
      </c>
    </row>
    <row r="41" spans="1:38" x14ac:dyDescent="0.35">
      <c r="G41" s="11"/>
    </row>
  </sheetData>
  <sortState xmlns:xlrd2="http://schemas.microsoft.com/office/spreadsheetml/2017/richdata2" ref="A5:AL34">
    <sortCondition ref="AF4:AF34"/>
  </sortState>
  <mergeCells count="1">
    <mergeCell ref="A1:P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Raw Data</vt:lpstr>
      <vt:lpstr> YoY_Data</vt:lpstr>
      <vt:lpstr>Clean Data</vt:lpstr>
      <vt:lpstr>Rural+Urban</vt:lpstr>
      <vt:lpstr>Q1_Basket_Contribution</vt:lpstr>
      <vt:lpstr>Q2_YoY Trend</vt:lpstr>
      <vt:lpstr> Q3_Food_Analysis</vt:lpstr>
      <vt:lpstr> Q4_COVID_Impact</vt:lpstr>
      <vt:lpstr> Q5_Oil_linkage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Sharma</dc:creator>
  <cp:lastModifiedBy>Ayush Sharma</cp:lastModifiedBy>
  <dcterms:created xsi:type="dcterms:W3CDTF">2026-04-08T14:25:45Z</dcterms:created>
  <dcterms:modified xsi:type="dcterms:W3CDTF">2026-05-31T13:49:41Z</dcterms:modified>
</cp:coreProperties>
</file>